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Projeto-Investimento\"/>
    </mc:Choice>
  </mc:AlternateContent>
  <xr:revisionPtr revIDLastSave="0" documentId="13_ncr:1_{0A7F2AC0-1157-422E-A3AD-BF26BABEB559}" xr6:coauthVersionLast="47" xr6:coauthVersionMax="47" xr10:uidLastSave="{00000000-0000-0000-0000-000000000000}"/>
  <bookViews>
    <workbookView xWindow="-120" yWindow="-120" windowWidth="29040" windowHeight="15720" activeTab="2" xr2:uid="{7B0DB812-37E7-441B-9C25-450FA1BD4A03}"/>
  </bookViews>
  <sheets>
    <sheet name="Visão Geral" sheetId="2" r:id="rId1"/>
    <sheet name="Ativos" sheetId="8" r:id="rId2"/>
    <sheet name="Aportes" sheetId="3" r:id="rId3"/>
    <sheet name="Dividendos" sheetId="4" r:id="rId4"/>
    <sheet name="Gráficos&amp;Projeções" sheetId="5" r:id="rId5"/>
    <sheet name="Projeções" sheetId="7" r:id="rId6"/>
    <sheet name="Fluxo_TIR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C134" i="9"/>
  <c r="G3" i="9" s="1"/>
  <c r="D72" i="3"/>
  <c r="D73" i="3"/>
  <c r="F17" i="2"/>
  <c r="G17" i="2" a="1"/>
  <c r="G17" i="2" s="1"/>
  <c r="J17" i="2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3" i="4"/>
  <c r="D71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J9" i="2"/>
  <c r="N41" i="5"/>
  <c r="M41" i="5"/>
  <c r="L41" i="5"/>
  <c r="K41" i="5"/>
  <c r="J41" i="5"/>
  <c r="I41" i="5"/>
  <c r="H41" i="5"/>
  <c r="G41" i="5"/>
  <c r="F41" i="5"/>
  <c r="E41" i="5"/>
  <c r="D41" i="5"/>
  <c r="C41" i="5"/>
  <c r="P40" i="5"/>
  <c r="O40" i="5"/>
  <c r="P39" i="5"/>
  <c r="O39" i="5"/>
  <c r="P38" i="5"/>
  <c r="O38" i="5"/>
  <c r="P37" i="5"/>
  <c r="O37" i="5"/>
  <c r="P36" i="5"/>
  <c r="O36" i="5"/>
  <c r="P35" i="5"/>
  <c r="O35" i="5"/>
  <c r="P34" i="5"/>
  <c r="O34" i="5"/>
  <c r="P33" i="5"/>
  <c r="O33" i="5"/>
  <c r="P32" i="5"/>
  <c r="O32" i="5"/>
  <c r="P31" i="5"/>
  <c r="O31" i="5"/>
  <c r="O41" i="5" s="1"/>
  <c r="N10" i="5"/>
  <c r="M10" i="5"/>
  <c r="L10" i="5"/>
  <c r="K10" i="5"/>
  <c r="J10" i="5"/>
  <c r="I10" i="5"/>
  <c r="H10" i="5"/>
  <c r="G10" i="5"/>
  <c r="F10" i="5"/>
  <c r="E10" i="5"/>
  <c r="D10" i="5"/>
  <c r="C10" i="5"/>
  <c r="P9" i="5"/>
  <c r="O9" i="5"/>
  <c r="P8" i="5"/>
  <c r="O8" i="5"/>
  <c r="P7" i="5"/>
  <c r="O7" i="5"/>
  <c r="P6" i="5"/>
  <c r="O6" i="5"/>
  <c r="P5" i="5"/>
  <c r="O5" i="5"/>
  <c r="P4" i="5"/>
  <c r="O4" i="5"/>
  <c r="C14" i="7"/>
  <c r="C18" i="7"/>
  <c r="C22" i="7"/>
  <c r="C26" i="7"/>
  <c r="C20" i="7"/>
  <c r="C17" i="7"/>
  <c r="C25" i="7"/>
  <c r="C15" i="7"/>
  <c r="C19" i="7"/>
  <c r="C23" i="7"/>
  <c r="C16" i="7"/>
  <c r="C24" i="7"/>
  <c r="C21" i="7"/>
  <c r="L17" i="2" l="1"/>
  <c r="O10" i="5"/>
  <c r="D21" i="7"/>
  <c r="E16" i="7"/>
  <c r="E19" i="7"/>
  <c r="D25" i="7"/>
  <c r="E20" i="7"/>
  <c r="D22" i="7"/>
  <c r="D14" i="7"/>
  <c r="E24" i="7"/>
  <c r="D17" i="7"/>
  <c r="D18" i="7"/>
  <c r="D24" i="7"/>
  <c r="E15" i="7"/>
  <c r="D26" i="7"/>
  <c r="E21" i="7"/>
  <c r="D16" i="7"/>
  <c r="D19" i="7"/>
  <c r="E25" i="7"/>
  <c r="D20" i="7"/>
  <c r="E22" i="7"/>
  <c r="E14" i="7"/>
  <c r="D23" i="7"/>
  <c r="D15" i="7"/>
  <c r="E26" i="7"/>
  <c r="E23" i="7"/>
  <c r="E17" i="7"/>
  <c r="E18" i="7"/>
  <c r="E5" i="4" l="1"/>
  <c r="E8" i="4"/>
  <c r="E11" i="4"/>
  <c r="E15" i="4"/>
  <c r="E19" i="4"/>
  <c r="E22" i="4"/>
  <c r="E27" i="4"/>
  <c r="E31" i="4"/>
  <c r="E35" i="4"/>
  <c r="E40" i="4"/>
  <c r="E46" i="4"/>
  <c r="E3" i="4"/>
  <c r="E6" i="4"/>
  <c r="E9" i="4"/>
  <c r="E12" i="4"/>
  <c r="E16" i="4"/>
  <c r="E20" i="4"/>
  <c r="E24" i="4"/>
  <c r="E28" i="4"/>
  <c r="E32" i="4"/>
  <c r="E36" i="4"/>
  <c r="E42" i="4"/>
  <c r="E48" i="4"/>
  <c r="E4" i="4"/>
  <c r="E7" i="4"/>
  <c r="E10" i="4"/>
  <c r="E13" i="4"/>
  <c r="E17" i="4"/>
  <c r="E21" i="4"/>
  <c r="E25" i="4"/>
  <c r="E29" i="4"/>
  <c r="E33" i="4"/>
  <c r="E38" i="4"/>
  <c r="E43" i="4"/>
  <c r="E49" i="4"/>
  <c r="E14" i="4"/>
  <c r="E18" i="4"/>
  <c r="E23" i="4"/>
  <c r="E26" i="4"/>
  <c r="E30" i="4"/>
  <c r="E34" i="4"/>
  <c r="E39" i="4"/>
  <c r="E44" i="4"/>
  <c r="E45" i="4"/>
  <c r="E37" i="4"/>
  <c r="E41" i="4"/>
  <c r="E47" i="4"/>
  <c r="E51" i="4"/>
  <c r="E57" i="4"/>
  <c r="E54" i="4"/>
  <c r="E60" i="4"/>
  <c r="E55" i="4"/>
  <c r="E50" i="4"/>
  <c r="E56" i="4"/>
  <c r="E52" i="4"/>
  <c r="E58" i="4"/>
  <c r="E53" i="4"/>
  <c r="E59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5" i="4"/>
  <c r="F8" i="4"/>
  <c r="F11" i="4"/>
  <c r="F15" i="4"/>
  <c r="F19" i="4"/>
  <c r="F22" i="4"/>
  <c r="F27" i="4"/>
  <c r="F31" i="4"/>
  <c r="F35" i="4"/>
  <c r="F40" i="4"/>
  <c r="F46" i="4"/>
  <c r="F3" i="4"/>
  <c r="F6" i="4"/>
  <c r="F9" i="4"/>
  <c r="F12" i="4"/>
  <c r="F16" i="4"/>
  <c r="F20" i="4"/>
  <c r="F24" i="4"/>
  <c r="F28" i="4"/>
  <c r="F32" i="4"/>
  <c r="F36" i="4"/>
  <c r="F42" i="4"/>
  <c r="F48" i="4"/>
  <c r="F4" i="4"/>
  <c r="F7" i="4"/>
  <c r="F10" i="4"/>
  <c r="F13" i="4"/>
  <c r="F17" i="4"/>
  <c r="F21" i="4"/>
  <c r="F25" i="4"/>
  <c r="F29" i="4"/>
  <c r="F33" i="4"/>
  <c r="F38" i="4"/>
  <c r="F43" i="4"/>
  <c r="F49" i="4"/>
  <c r="F14" i="4"/>
  <c r="F18" i="4"/>
  <c r="F23" i="4"/>
  <c r="F26" i="4"/>
  <c r="F30" i="4"/>
  <c r="F34" i="4"/>
  <c r="F39" i="4"/>
  <c r="F44" i="4"/>
  <c r="F45" i="4"/>
  <c r="F37" i="4"/>
  <c r="F41" i="4"/>
  <c r="F47" i="4"/>
  <c r="F51" i="4"/>
  <c r="F57" i="4"/>
  <c r="F54" i="4"/>
  <c r="F60" i="4"/>
  <c r="F55" i="4"/>
  <c r="F50" i="4"/>
  <c r="F56" i="4"/>
  <c r="F52" i="4"/>
  <c r="F58" i="4"/>
  <c r="F53" i="4"/>
  <c r="F59" i="4"/>
  <c r="I71" i="3"/>
  <c r="I72" i="3"/>
  <c r="I73" i="3"/>
  <c r="I74" i="3"/>
  <c r="H17" i="2" s="1"/>
  <c r="I17" i="2" s="1"/>
  <c r="K17" i="2" s="1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6" i="3"/>
  <c r="I9" i="3"/>
  <c r="I12" i="3"/>
  <c r="I16" i="3"/>
  <c r="I19" i="3"/>
  <c r="I26" i="3"/>
  <c r="I33" i="3"/>
  <c r="I34" i="3"/>
  <c r="I35" i="3"/>
  <c r="I43" i="3"/>
  <c r="I48" i="3"/>
  <c r="I52" i="3"/>
  <c r="I53" i="3"/>
  <c r="I57" i="3"/>
  <c r="I4" i="3"/>
  <c r="I7" i="3"/>
  <c r="I10" i="3"/>
  <c r="I13" i="3"/>
  <c r="I17" i="3"/>
  <c r="I20" i="3"/>
  <c r="I27" i="3"/>
  <c r="I29" i="3"/>
  <c r="I36" i="3"/>
  <c r="I37" i="3"/>
  <c r="I44" i="3"/>
  <c r="I49" i="3"/>
  <c r="I5" i="3"/>
  <c r="I8" i="3"/>
  <c r="I11" i="3"/>
  <c r="I14" i="3"/>
  <c r="I18" i="3"/>
  <c r="I21" i="3"/>
  <c r="I28" i="3"/>
  <c r="I38" i="3"/>
  <c r="I41" i="3"/>
  <c r="I45" i="3"/>
  <c r="I50" i="3"/>
  <c r="I54" i="3"/>
  <c r="I58" i="3"/>
  <c r="I15" i="3"/>
  <c r="I22" i="3"/>
  <c r="I23" i="3"/>
  <c r="I25" i="3"/>
  <c r="I24" i="3"/>
  <c r="I30" i="3"/>
  <c r="I31" i="3"/>
  <c r="I32" i="3"/>
  <c r="I42" i="3"/>
  <c r="I47" i="3"/>
  <c r="I55" i="3"/>
  <c r="I59" i="3"/>
  <c r="I39" i="3"/>
  <c r="I40" i="3"/>
  <c r="I46" i="3"/>
  <c r="I51" i="3"/>
  <c r="I56" i="3"/>
  <c r="I60" i="3"/>
  <c r="I61" i="3"/>
  <c r="I62" i="3"/>
  <c r="I67" i="3"/>
  <c r="I63" i="3"/>
  <c r="I64" i="3"/>
  <c r="I65" i="3"/>
  <c r="I66" i="3"/>
  <c r="I68" i="3"/>
  <c r="I69" i="3"/>
  <c r="I70" i="3"/>
  <c r="I3" i="3"/>
  <c r="F3" i="3"/>
  <c r="F6" i="3"/>
  <c r="F9" i="3"/>
  <c r="F12" i="3"/>
  <c r="F16" i="3"/>
  <c r="F19" i="3"/>
  <c r="F26" i="3"/>
  <c r="F33" i="3"/>
  <c r="F34" i="3"/>
  <c r="F35" i="3"/>
  <c r="F43" i="3"/>
  <c r="F48" i="3"/>
  <c r="F52" i="3"/>
  <c r="F53" i="3"/>
  <c r="F57" i="3"/>
  <c r="F4" i="3"/>
  <c r="F7" i="3"/>
  <c r="F10" i="3"/>
  <c r="F13" i="3"/>
  <c r="F17" i="3"/>
  <c r="F20" i="3"/>
  <c r="F27" i="3"/>
  <c r="F29" i="3"/>
  <c r="F36" i="3"/>
  <c r="F37" i="3"/>
  <c r="F44" i="3"/>
  <c r="F49" i="3"/>
  <c r="F5" i="3"/>
  <c r="F8" i="3"/>
  <c r="F11" i="3"/>
  <c r="F14" i="3"/>
  <c r="F18" i="3"/>
  <c r="F21" i="3"/>
  <c r="F28" i="3"/>
  <c r="F38" i="3"/>
  <c r="F41" i="3"/>
  <c r="F45" i="3"/>
  <c r="F50" i="3"/>
  <c r="F54" i="3"/>
  <c r="F58" i="3"/>
  <c r="F15" i="3"/>
  <c r="F22" i="3"/>
  <c r="F23" i="3"/>
  <c r="F25" i="3"/>
  <c r="F24" i="3"/>
  <c r="F30" i="3"/>
  <c r="F31" i="3"/>
  <c r="F32" i="3"/>
  <c r="F42" i="3"/>
  <c r="F47" i="3"/>
  <c r="F55" i="3"/>
  <c r="F59" i="3"/>
  <c r="F39" i="3"/>
  <c r="F40" i="3"/>
  <c r="F46" i="3"/>
  <c r="F51" i="3"/>
  <c r="F56" i="3"/>
  <c r="F60" i="3"/>
  <c r="F61" i="3"/>
  <c r="F62" i="3"/>
  <c r="F67" i="3"/>
  <c r="F63" i="3"/>
  <c r="F64" i="3"/>
  <c r="F65" i="3"/>
  <c r="F66" i="3"/>
  <c r="F68" i="3"/>
  <c r="F69" i="3"/>
  <c r="F70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J7" i="2" l="1"/>
  <c r="J8" i="2"/>
  <c r="J10" i="2"/>
  <c r="J11" i="2"/>
  <c r="J12" i="2"/>
  <c r="J13" i="2"/>
  <c r="J14" i="2"/>
  <c r="J15" i="2"/>
  <c r="J16" i="2"/>
  <c r="H10" i="2"/>
  <c r="H9" i="2"/>
  <c r="I9" i="2" s="1"/>
  <c r="K9" i="2" s="1"/>
  <c r="H12" i="2"/>
  <c r="H16" i="2"/>
  <c r="H11" i="2"/>
  <c r="H13" i="2"/>
  <c r="H15" i="2"/>
  <c r="H7" i="2"/>
  <c r="H8" i="2"/>
  <c r="I8" i="2" s="1"/>
  <c r="K8" i="2" s="1"/>
  <c r="H14" i="2"/>
  <c r="E13" i="2"/>
  <c r="E16" i="2"/>
  <c r="E12" i="2"/>
  <c r="E15" i="2"/>
  <c r="E11" i="2"/>
  <c r="E7" i="2"/>
  <c r="E9" i="2"/>
  <c r="E8" i="2"/>
  <c r="E14" i="2"/>
  <c r="E10" i="2"/>
  <c r="F7" i="2"/>
  <c r="L7" i="2" s="1"/>
  <c r="F11" i="2"/>
  <c r="L11" i="2" s="1"/>
  <c r="F14" i="2"/>
  <c r="L14" i="2" s="1"/>
  <c r="F13" i="2"/>
  <c r="L13" i="2" s="1"/>
  <c r="F9" i="2"/>
  <c r="L9" i="2" s="1"/>
  <c r="F15" i="2"/>
  <c r="L15" i="2" s="1"/>
  <c r="F10" i="2"/>
  <c r="L10" i="2" s="1"/>
  <c r="F16" i="2"/>
  <c r="L16" i="2" s="1"/>
  <c r="F12" i="2"/>
  <c r="L12" i="2" s="1"/>
  <c r="F8" i="2"/>
  <c r="L8" i="2" s="1"/>
  <c r="F71" i="3"/>
  <c r="I13" i="2" l="1"/>
  <c r="K13" i="2" s="1"/>
  <c r="C2" i="2"/>
  <c r="I7" i="2"/>
  <c r="K7" i="2" s="1"/>
  <c r="E2" i="2"/>
  <c r="I11" i="2"/>
  <c r="K11" i="2" s="1"/>
  <c r="I16" i="2"/>
  <c r="K16" i="2" s="1"/>
  <c r="I14" i="2"/>
  <c r="K14" i="2" s="1"/>
  <c r="I12" i="2"/>
  <c r="K12" i="2" s="1"/>
  <c r="I15" i="2"/>
  <c r="K15" i="2" s="1"/>
  <c r="I10" i="2"/>
  <c r="K1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1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31"/>
        </ext>
      </extLst>
    </bk>
  </futureMetadata>
  <cellMetadata count="1">
    <bk>
      <rc t="1" v="0"/>
    </bk>
  </cellMetadata>
  <valueMetadata count="1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</valueMetadata>
</metadata>
</file>

<file path=xl/sharedStrings.xml><?xml version="1.0" encoding="utf-8"?>
<sst xmlns="http://schemas.openxmlformats.org/spreadsheetml/2006/main" count="124" uniqueCount="58">
  <si>
    <t xml:space="preserve">ID </t>
  </si>
  <si>
    <t xml:space="preserve"> FII       </t>
  </si>
  <si>
    <t xml:space="preserve"> Renda Urbana</t>
  </si>
  <si>
    <t xml:space="preserve"> Logística</t>
  </si>
  <si>
    <t xml:space="preserve"> Shopping</t>
  </si>
  <si>
    <t xml:space="preserve"> Papel (CRI)</t>
  </si>
  <si>
    <t xml:space="preserve"> Ação      </t>
  </si>
  <si>
    <t xml:space="preserve"> Seguros</t>
  </si>
  <si>
    <t xml:space="preserve"> Híbrido</t>
  </si>
  <si>
    <t xml:space="preserve"> Holding Financeira</t>
  </si>
  <si>
    <t>Ativo</t>
  </si>
  <si>
    <t>Quantidade</t>
  </si>
  <si>
    <t>Preço Médio</t>
  </si>
  <si>
    <t>Preço Atual</t>
  </si>
  <si>
    <t>ID</t>
  </si>
  <si>
    <t>Data</t>
  </si>
  <si>
    <t>Cotas</t>
  </si>
  <si>
    <t>Dividendo</t>
  </si>
  <si>
    <t>Valor Total</t>
  </si>
  <si>
    <t>Valor Aplicado</t>
  </si>
  <si>
    <t xml:space="preserve"> Setor Segmento</t>
  </si>
  <si>
    <t xml:space="preserve"> Tipo Ativo </t>
  </si>
  <si>
    <t>Setor</t>
  </si>
  <si>
    <t>Valor Unitário</t>
  </si>
  <si>
    <t>Tipo</t>
  </si>
  <si>
    <t>DIVIDENDOS 2025</t>
  </si>
  <si>
    <t>TOTAL</t>
  </si>
  <si>
    <t>MEDIA</t>
  </si>
  <si>
    <t>TRXF11</t>
  </si>
  <si>
    <t>BTLG11</t>
  </si>
  <si>
    <t>XPML11</t>
  </si>
  <si>
    <t>KNSC11</t>
  </si>
  <si>
    <t>BBSA3</t>
  </si>
  <si>
    <t>RBVA11</t>
  </si>
  <si>
    <t>Total 2025</t>
  </si>
  <si>
    <t>DIVIDENDOS 2026</t>
  </si>
  <si>
    <t>TRXY11</t>
  </si>
  <si>
    <t>-</t>
  </si>
  <si>
    <t>ITSA4</t>
  </si>
  <si>
    <t>HGLG11</t>
  </si>
  <si>
    <t>XPLG11</t>
  </si>
  <si>
    <t>Total 2026</t>
  </si>
  <si>
    <t>Linha do Tempo</t>
  </si>
  <si>
    <t>Valores</t>
  </si>
  <si>
    <t>Previsão</t>
  </si>
  <si>
    <t>Limite de Confiança Inferior</t>
  </si>
  <si>
    <t>Limite de Confiança Superior</t>
  </si>
  <si>
    <t xml:space="preserve"> TipoAtivo </t>
  </si>
  <si>
    <t xml:space="preserve"> SetorSegmento</t>
  </si>
  <si>
    <t>BBAS3</t>
  </si>
  <si>
    <t>EGIE3</t>
  </si>
  <si>
    <t>Ação</t>
  </si>
  <si>
    <t>Energia Elétrica</t>
  </si>
  <si>
    <t>Rentabilidade</t>
  </si>
  <si>
    <t>Fluxo</t>
  </si>
  <si>
    <t>Valorização da Cota</t>
  </si>
  <si>
    <t>Dividendos</t>
  </si>
  <si>
    <t>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</si>
</sst>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9"/>
      <name val="Calibri Light"/>
      <family val="2"/>
    </font>
    <font>
      <b/>
      <i/>
      <sz val="12"/>
      <color rgb="FF0070C0"/>
      <name val="Calibri Light"/>
      <family val="2"/>
    </font>
    <font>
      <b/>
      <i/>
      <sz val="12"/>
      <color theme="9"/>
      <name val="Calibri Light"/>
      <family val="2"/>
      <scheme val="major"/>
    </font>
    <font>
      <b/>
      <i/>
      <sz val="12"/>
      <color rgb="FF0070C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i/>
      <sz val="12"/>
      <color theme="0"/>
      <name val="Calibri Light"/>
      <family val="2"/>
    </font>
    <font>
      <b/>
      <sz val="11"/>
      <color theme="0"/>
      <name val="Calibri Light"/>
      <family val="2"/>
      <scheme val="major"/>
    </font>
    <font>
      <b/>
      <sz val="11"/>
      <color theme="0"/>
      <name val="Bold"/>
    </font>
    <font>
      <b/>
      <i/>
      <sz val="12"/>
      <color theme="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1"/>
      <color theme="0"/>
      <name val="Calibri"/>
      <family val="2"/>
    </font>
    <font>
      <b/>
      <sz val="11"/>
      <color theme="9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F0"/>
      <name val="Calibri"/>
      <family val="2"/>
    </font>
    <font>
      <b/>
      <sz val="11"/>
      <color theme="9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-0.499984740745262"/>
        <bgColor rgb="FF4F81BD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4F81B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17" fontId="0" fillId="0" borderId="0" xfId="0" applyNumberFormat="1"/>
    <xf numFmtId="44" fontId="0" fillId="0" borderId="0" xfId="0" applyNumberFormat="1"/>
    <xf numFmtId="4" fontId="0" fillId="0" borderId="0" xfId="0" applyNumberFormat="1"/>
    <xf numFmtId="44" fontId="4" fillId="2" borderId="2" xfId="0" applyNumberFormat="1" applyFont="1" applyFill="1" applyBorder="1" applyAlignment="1">
      <alignment horizontal="center" vertical="center"/>
    </xf>
    <xf numFmtId="44" fontId="5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44" fontId="9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17" fontId="11" fillId="2" borderId="2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165" fontId="12" fillId="2" borderId="2" xfId="0" applyNumberFormat="1" applyFont="1" applyFill="1" applyBorder="1" applyAlignment="1">
      <alignment horizontal="center" vertical="center"/>
    </xf>
    <xf numFmtId="165" fontId="12" fillId="2" borderId="2" xfId="2" applyNumberFormat="1" applyFont="1" applyFill="1" applyBorder="1" applyAlignment="1">
      <alignment horizontal="center" vertical="center" shrinkToFit="1"/>
    </xf>
    <xf numFmtId="17" fontId="13" fillId="2" borderId="2" xfId="0" applyNumberFormat="1" applyFont="1" applyFill="1" applyBorder="1" applyAlignment="1">
      <alignment horizontal="center" vertical="center"/>
    </xf>
    <xf numFmtId="0" fontId="0" fillId="3" borderId="0" xfId="0" applyFill="1"/>
    <xf numFmtId="44" fontId="9" fillId="3" borderId="0" xfId="0" applyNumberFormat="1" applyFont="1" applyFill="1" applyAlignment="1">
      <alignment horizontal="center" vertical="center"/>
    </xf>
    <xf numFmtId="0" fontId="8" fillId="3" borderId="0" xfId="0" applyFont="1" applyFill="1"/>
    <xf numFmtId="0" fontId="14" fillId="4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4" fontId="14" fillId="2" borderId="1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4" fontId="14" fillId="2" borderId="0" xfId="0" applyNumberFormat="1" applyFont="1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9" fontId="0" fillId="5" borderId="0" xfId="0" applyNumberFormat="1" applyFill="1"/>
    <xf numFmtId="9" fontId="0" fillId="5" borderId="0" xfId="1" applyFont="1" applyFill="1"/>
    <xf numFmtId="8" fontId="17" fillId="2" borderId="1" xfId="0" applyNumberFormat="1" applyFont="1" applyFill="1" applyBorder="1" applyAlignment="1">
      <alignment horizontal="center" vertical="center"/>
    </xf>
    <xf numFmtId="8" fontId="17" fillId="2" borderId="0" xfId="0" applyNumberFormat="1" applyFont="1" applyFill="1" applyAlignment="1">
      <alignment horizontal="center" vertical="center"/>
    </xf>
    <xf numFmtId="8" fontId="18" fillId="2" borderId="1" xfId="0" applyNumberFormat="1" applyFont="1" applyFill="1" applyBorder="1" applyAlignment="1">
      <alignment horizontal="center" vertical="center"/>
    </xf>
    <xf numFmtId="8" fontId="18" fillId="2" borderId="0" xfId="0" applyNumberFormat="1" applyFont="1" applyFill="1" applyAlignment="1">
      <alignment horizontal="center" vertical="center"/>
    </xf>
    <xf numFmtId="0" fontId="0" fillId="6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6" borderId="0" xfId="0" applyNumberFormat="1" applyFill="1"/>
    <xf numFmtId="9" fontId="0" fillId="0" borderId="0" xfId="1" applyFont="1"/>
    <xf numFmtId="0" fontId="0" fillId="0" borderId="7" xfId="0" applyBorder="1"/>
    <xf numFmtId="14" fontId="14" fillId="2" borderId="5" xfId="0" applyNumberFormat="1" applyFont="1" applyFill="1" applyBorder="1" applyAlignment="1">
      <alignment horizontal="center" vertical="center"/>
    </xf>
    <xf numFmtId="8" fontId="18" fillId="2" borderId="3" xfId="0" applyNumberFormat="1" applyFont="1" applyFill="1" applyBorder="1" applyAlignment="1">
      <alignment horizontal="center" vertical="center"/>
    </xf>
    <xf numFmtId="14" fontId="0" fillId="0" borderId="9" xfId="0" applyNumberFormat="1" applyBorder="1"/>
    <xf numFmtId="9" fontId="2" fillId="2" borderId="0" xfId="1" applyFont="1" applyFill="1" applyAlignment="1">
      <alignment horizontal="center" vertical="center"/>
    </xf>
    <xf numFmtId="165" fontId="20" fillId="2" borderId="3" xfId="2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19" fillId="2" borderId="3" xfId="0" applyNumberFormat="1" applyFont="1" applyFill="1" applyBorder="1" applyAlignment="1">
      <alignment horizontal="center" vertical="center"/>
    </xf>
    <xf numFmtId="44" fontId="0" fillId="0" borderId="1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solid"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solid"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F81B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2" formatCode="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F81B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solid"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solid"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F81B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F81B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F81B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F81BD"/>
        </top>
        <bottom/>
      </border>
    </dxf>
    <dxf>
      <border outline="0"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4F81BD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F81B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F81B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F81B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F81B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F81BD"/>
        </top>
        <bottom/>
      </border>
    </dxf>
    <dxf>
      <border outline="0"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4F81BD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 val="0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 val="0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 val="0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 val="0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 val="0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3" formatCode="0%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Evolução de Dividendos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'Gráficos&amp;Projeções'!$C$3:$N$3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'Gráficos&amp;Projeções'!$C$10:$N$10</c:f>
              <c:numCache>
                <c:formatCode>_("R$"* #,##0.00_);_("R$"* \(#,##0.00\);_("R$"* "-"??_);_(@_)</c:formatCode>
                <c:ptCount val="12"/>
                <c:pt idx="0">
                  <c:v>1.79</c:v>
                </c:pt>
                <c:pt idx="1">
                  <c:v>4.33</c:v>
                </c:pt>
                <c:pt idx="2">
                  <c:v>6.96</c:v>
                </c:pt>
                <c:pt idx="3">
                  <c:v>9.59</c:v>
                </c:pt>
                <c:pt idx="4">
                  <c:v>12.44</c:v>
                </c:pt>
                <c:pt idx="5">
                  <c:v>15.049999999999999</c:v>
                </c:pt>
                <c:pt idx="6">
                  <c:v>21.77</c:v>
                </c:pt>
                <c:pt idx="7">
                  <c:v>23.889999999999997</c:v>
                </c:pt>
                <c:pt idx="8">
                  <c:v>28.630000000000003</c:v>
                </c:pt>
                <c:pt idx="9">
                  <c:v>32.69</c:v>
                </c:pt>
                <c:pt idx="10">
                  <c:v>36.18</c:v>
                </c:pt>
                <c:pt idx="11">
                  <c:v>41.94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5-46F6-B655-2A3F66194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504383"/>
        <c:axId val="142504799"/>
      </c:barChart>
      <c:dateAx>
        <c:axId val="14250438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504799"/>
        <c:crosses val="autoZero"/>
        <c:auto val="1"/>
        <c:lblOffset val="100"/>
        <c:baseTimeUnit val="months"/>
      </c:dateAx>
      <c:valAx>
        <c:axId val="14250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50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Previsão Dividendo</a:t>
            </a:r>
            <a:r>
              <a:rPr lang="pt-BR" baseline="0"/>
              <a:t>s - 2026</a:t>
            </a:r>
          </a:p>
        </c:rich>
      </c:tx>
      <c:layout>
        <c:manualLayout>
          <c:xMode val="edge"/>
          <c:yMode val="edge"/>
          <c:x val="0.38242880042586258"/>
          <c:y val="3.439152722752838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0745472547372337E-2"/>
          <c:y val="8.4433098696843553E-2"/>
          <c:w val="0.9244785702529642"/>
          <c:h val="0.77774827179120054"/>
        </c:manualLayout>
      </c:layout>
      <c:lineChart>
        <c:grouping val="standard"/>
        <c:varyColors val="0"/>
        <c:ser>
          <c:idx val="0"/>
          <c:order val="0"/>
          <c:tx>
            <c:strRef>
              <c:f>Projeções!$B$1</c:f>
              <c:strCache>
                <c:ptCount val="1"/>
                <c:pt idx="0">
                  <c:v>Valores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Projeções!$B$2:$B$26</c:f>
              <c:numCache>
                <c:formatCode>_("R$"* #,##0.00_);_("R$"* \(#,##0.00\);_("R$"* "-"??_);_(@_)</c:formatCode>
                <c:ptCount val="25"/>
                <c:pt idx="0">
                  <c:v>1.79</c:v>
                </c:pt>
                <c:pt idx="1">
                  <c:v>4.33</c:v>
                </c:pt>
                <c:pt idx="2">
                  <c:v>6.96</c:v>
                </c:pt>
                <c:pt idx="3">
                  <c:v>9.59</c:v>
                </c:pt>
                <c:pt idx="4">
                  <c:v>12.44</c:v>
                </c:pt>
                <c:pt idx="5">
                  <c:v>15.049999999999999</c:v>
                </c:pt>
                <c:pt idx="6">
                  <c:v>21.77</c:v>
                </c:pt>
                <c:pt idx="7">
                  <c:v>23.889999999999997</c:v>
                </c:pt>
                <c:pt idx="8">
                  <c:v>28.630000000000003</c:v>
                </c:pt>
                <c:pt idx="9">
                  <c:v>32.69</c:v>
                </c:pt>
                <c:pt idx="10">
                  <c:v>36.18</c:v>
                </c:pt>
                <c:pt idx="11">
                  <c:v>41.94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9C-4A30-8483-BB67DC4A6FC2}"/>
            </c:ext>
          </c:extLst>
        </c:ser>
        <c:ser>
          <c:idx val="1"/>
          <c:order val="1"/>
          <c:tx>
            <c:strRef>
              <c:f>Projeções!$C$1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Projeções!$A$2:$A$26</c:f>
              <c:numCache>
                <c:formatCode>mmm\-yy</c:formatCode>
                <c:ptCount val="2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</c:numCache>
            </c:numRef>
          </c:cat>
          <c:val>
            <c:numRef>
              <c:f>Projeções!$C$2:$C$26</c:f>
              <c:numCache>
                <c:formatCode>General</c:formatCode>
                <c:ptCount val="25"/>
                <c:pt idx="11" formatCode="_(&quot;R$&quot;* #,##0.00_);_(&quot;R$&quot;* \(#,##0.00\);_(&quot;R$&quot;* &quot;-&quot;??_);_(@_)">
                  <c:v>41.94</c:v>
                </c:pt>
                <c:pt idx="12" formatCode="_(&quot;R$&quot;* #,##0.00_);_(&quot;R$&quot;* \(#,##0.00\);_(&quot;R$&quot;* &quot;-&quot;??_);_(@_)">
                  <c:v>46.045269589954934</c:v>
                </c:pt>
                <c:pt idx="13" formatCode="_(&quot;R$&quot;* #,##0.00_);_(&quot;R$&quot;* \(#,##0.00\);_(&quot;R$&quot;* &quot;-&quot;??_);_(@_)">
                  <c:v>50.717743113196768</c:v>
                </c:pt>
                <c:pt idx="14" formatCode="_(&quot;R$&quot;* #,##0.00_);_(&quot;R$&quot;* \(#,##0.00\);_(&quot;R$&quot;* &quot;-&quot;??_);_(@_)">
                  <c:v>55.390216636438602</c:v>
                </c:pt>
                <c:pt idx="15" formatCode="_(&quot;R$&quot;* #,##0.00_);_(&quot;R$&quot;* \(#,##0.00\);_(&quot;R$&quot;* &quot;-&quot;??_);_(@_)">
                  <c:v>60.062690159680436</c:v>
                </c:pt>
                <c:pt idx="16" formatCode="_(&quot;R$&quot;* #,##0.00_);_(&quot;R$&quot;* \(#,##0.00\);_(&quot;R$&quot;* &quot;-&quot;??_);_(@_)">
                  <c:v>64.735163682922263</c:v>
                </c:pt>
                <c:pt idx="17" formatCode="_(&quot;R$&quot;* #,##0.00_);_(&quot;R$&quot;* \(#,##0.00\);_(&quot;R$&quot;* &quot;-&quot;??_);_(@_)">
                  <c:v>69.407637206164111</c:v>
                </c:pt>
                <c:pt idx="18" formatCode="_(&quot;R$&quot;* #,##0.00_);_(&quot;R$&quot;* \(#,##0.00\);_(&quot;R$&quot;* &quot;-&quot;??_);_(@_)">
                  <c:v>74.080110729405931</c:v>
                </c:pt>
                <c:pt idx="19" formatCode="_(&quot;R$&quot;* #,##0.00_);_(&quot;R$&quot;* \(#,##0.00\);_(&quot;R$&quot;* &quot;-&quot;??_);_(@_)">
                  <c:v>78.752584252647779</c:v>
                </c:pt>
                <c:pt idx="20" formatCode="_(&quot;R$&quot;* #,##0.00_);_(&quot;R$&quot;* \(#,##0.00\);_(&quot;R$&quot;* &quot;-&quot;??_);_(@_)">
                  <c:v>83.425057775889599</c:v>
                </c:pt>
                <c:pt idx="21" formatCode="_(&quot;R$&quot;* #,##0.00_);_(&quot;R$&quot;* \(#,##0.00\);_(&quot;R$&quot;* &quot;-&quot;??_);_(@_)">
                  <c:v>88.097531299131447</c:v>
                </c:pt>
                <c:pt idx="22" formatCode="_(&quot;R$&quot;* #,##0.00_);_(&quot;R$&quot;* \(#,##0.00\);_(&quot;R$&quot;* &quot;-&quot;??_);_(@_)">
                  <c:v>92.770004822373267</c:v>
                </c:pt>
                <c:pt idx="23" formatCode="_(&quot;R$&quot;* #,##0.00_);_(&quot;R$&quot;* \(#,##0.00\);_(&quot;R$&quot;* &quot;-&quot;??_);_(@_)">
                  <c:v>97.442478345615115</c:v>
                </c:pt>
                <c:pt idx="24" formatCode="_(&quot;R$&quot;* #,##0.00_);_(&quot;R$&quot;* \(#,##0.00\);_(&quot;R$&quot;* &quot;-&quot;??_);_(@_)">
                  <c:v>102.11495186885693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9C-4A30-8483-BB67DC4A6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66607"/>
        <c:axId val="176372015"/>
      </c:lineChart>
      <c:catAx>
        <c:axId val="17636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372015"/>
        <c:crosses val="autoZero"/>
        <c:auto val="1"/>
        <c:lblAlgn val="ctr"/>
        <c:lblOffset val="100"/>
        <c:noMultiLvlLbl val="0"/>
      </c:catAx>
      <c:valAx>
        <c:axId val="17637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36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81448</xdr:colOff>
      <xdr:row>0</xdr:row>
      <xdr:rowOff>82825</xdr:rowOff>
    </xdr:from>
    <xdr:to>
      <xdr:col>3</xdr:col>
      <xdr:colOff>528708</xdr:colOff>
      <xdr:row>3</xdr:row>
      <xdr:rowOff>140804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56C252D7-6D42-4763-B5EB-36BA1E61D1E5}"/>
            </a:ext>
          </a:extLst>
        </xdr:cNvPr>
        <xdr:cNvGrpSpPr/>
      </xdr:nvGrpSpPr>
      <xdr:grpSpPr>
        <a:xfrm>
          <a:off x="4584175" y="82825"/>
          <a:ext cx="1477692" cy="629479"/>
          <a:chOff x="4820480" y="16565"/>
          <a:chExt cx="1474304" cy="637762"/>
        </a:xfrm>
      </xdr:grpSpPr>
      <xdr:sp macro="" textlink="$C$2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F1304067-8F90-4B82-B828-E061CB3C9C34}"/>
              </a:ext>
            </a:extLst>
          </xdr:cNvPr>
          <xdr:cNvSpPr/>
        </xdr:nvSpPr>
        <xdr:spPr>
          <a:xfrm>
            <a:off x="4820480" y="33131"/>
            <a:ext cx="1474304" cy="621196"/>
          </a:xfrm>
          <a:prstGeom prst="roundRect">
            <a:avLst/>
          </a:prstGeom>
          <a:solidFill>
            <a:schemeClr val="tx2">
              <a:lumMod val="50000"/>
            </a:schemeClr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001">
            <a:schemeClr val="dk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23A631A6-69E9-4D97-9F3A-40FE3C80006B}" type="TxLink">
              <a:rPr lang="en-US" sz="11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 R$ 7.031,81 </a:t>
            </a:fld>
            <a:endParaRPr lang="pt-BR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3E80008E-0A0A-4B58-9544-12702C4D370E}"/>
              </a:ext>
            </a:extLst>
          </xdr:cNvPr>
          <xdr:cNvSpPr txBox="1"/>
        </xdr:nvSpPr>
        <xdr:spPr>
          <a:xfrm>
            <a:off x="5060674" y="16565"/>
            <a:ext cx="1060174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400" b="1">
                <a:solidFill>
                  <a:schemeClr val="bg1"/>
                </a:solidFill>
              </a:rPr>
              <a:t>Patrimônio</a:t>
            </a:r>
          </a:p>
        </xdr:txBody>
      </xdr:sp>
    </xdr:grpSp>
    <xdr:clientData/>
  </xdr:twoCellAnchor>
  <xdr:twoCellAnchor>
    <xdr:from>
      <xdr:col>3</xdr:col>
      <xdr:colOff>906255</xdr:colOff>
      <xdr:row>0</xdr:row>
      <xdr:rowOff>108021</xdr:rowOff>
    </xdr:from>
    <xdr:to>
      <xdr:col>4</xdr:col>
      <xdr:colOff>1033946</xdr:colOff>
      <xdr:row>3</xdr:row>
      <xdr:rowOff>141151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4408818B-BD95-4D45-BBF6-E2E114FD16BC}"/>
            </a:ext>
          </a:extLst>
        </xdr:cNvPr>
        <xdr:cNvGrpSpPr/>
      </xdr:nvGrpSpPr>
      <xdr:grpSpPr>
        <a:xfrm>
          <a:off x="6439414" y="108021"/>
          <a:ext cx="1478509" cy="604630"/>
          <a:chOff x="7123043" y="57979"/>
          <a:chExt cx="1482587" cy="621195"/>
        </a:xfrm>
        <a:effectLst>
          <a:outerShdw blurRad="50800" dist="38100" dir="5400000" algn="t" rotWithShape="0">
            <a:prstClr val="black">
              <a:alpha val="40000"/>
            </a:prstClr>
          </a:outerShdw>
        </a:effectLst>
      </xdr:grpSpPr>
      <xdr:sp macro="" textlink="$E$2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761E1E83-ED57-452D-8ADF-FA50E4F6E56B}"/>
              </a:ext>
            </a:extLst>
          </xdr:cNvPr>
          <xdr:cNvSpPr/>
        </xdr:nvSpPr>
        <xdr:spPr>
          <a:xfrm>
            <a:off x="7123043" y="57979"/>
            <a:ext cx="1482587" cy="621195"/>
          </a:xfrm>
          <a:prstGeom prst="roundRect">
            <a:avLst/>
          </a:prstGeom>
          <a:solidFill>
            <a:schemeClr val="tx2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4F2CB94-108D-425A-BDAA-24011A4BC745}" type="TxLink">
              <a:rPr lang="en-US" sz="11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 R$ 333,07 </a:t>
            </a:fld>
            <a:endParaRPr lang="pt-BR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6C56A229-A01B-495F-9F4B-0DC35CE2F05D}"/>
              </a:ext>
            </a:extLst>
          </xdr:cNvPr>
          <xdr:cNvSpPr txBox="1"/>
        </xdr:nvSpPr>
        <xdr:spPr>
          <a:xfrm>
            <a:off x="7388087" y="74543"/>
            <a:ext cx="1018677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400" b="1">
                <a:solidFill>
                  <a:schemeClr val="bg1"/>
                </a:solidFill>
              </a:rPr>
              <a:t>Dividendos</a:t>
            </a:r>
          </a:p>
        </xdr:txBody>
      </xdr:sp>
    </xdr:grpSp>
    <xdr:clientData/>
  </xdr:twoCellAnchor>
  <xdr:twoCellAnchor>
    <xdr:from>
      <xdr:col>5</xdr:col>
      <xdr:colOff>404090</xdr:colOff>
      <xdr:row>0</xdr:row>
      <xdr:rowOff>111848</xdr:rowOff>
    </xdr:from>
    <xdr:to>
      <xdr:col>6</xdr:col>
      <xdr:colOff>758360</xdr:colOff>
      <xdr:row>3</xdr:row>
      <xdr:rowOff>144978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4D07FB2D-55EF-4FED-9608-5DB557345A32}"/>
            </a:ext>
          </a:extLst>
        </xdr:cNvPr>
        <xdr:cNvGrpSpPr/>
      </xdr:nvGrpSpPr>
      <xdr:grpSpPr>
        <a:xfrm>
          <a:off x="8353135" y="111848"/>
          <a:ext cx="1479952" cy="604630"/>
          <a:chOff x="7027623" y="31290"/>
          <a:chExt cx="1482587" cy="621195"/>
        </a:xfrm>
        <a:effectLst>
          <a:outerShdw blurRad="50800" dist="38100" dir="5400000" algn="t" rotWithShape="0">
            <a:prstClr val="black">
              <a:alpha val="40000"/>
            </a:prstClr>
          </a:outerShdw>
        </a:effectLst>
      </xdr:grpSpPr>
      <xdr:sp macro="" textlink="Fluxo_TIR!G3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4F72554D-5A1E-42C4-9A60-A84E2F1E4F00}"/>
              </a:ext>
            </a:extLst>
          </xdr:cNvPr>
          <xdr:cNvSpPr/>
        </xdr:nvSpPr>
        <xdr:spPr>
          <a:xfrm>
            <a:off x="7027623" y="31290"/>
            <a:ext cx="1482587" cy="621195"/>
          </a:xfrm>
          <a:prstGeom prst="roundRect">
            <a:avLst/>
          </a:prstGeom>
          <a:solidFill>
            <a:schemeClr val="tx2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0B6F36B8-1505-449F-AF94-9F08C3708D5B}" type="TxLink">
              <a:rPr lang="en-US" sz="12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5%</a:t>
            </a:fld>
            <a:endParaRPr lang="pt-B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198F342F-D1F2-4CF5-9B75-A45A3307B199}"/>
              </a:ext>
            </a:extLst>
          </xdr:cNvPr>
          <xdr:cNvSpPr txBox="1"/>
        </xdr:nvSpPr>
        <xdr:spPr>
          <a:xfrm>
            <a:off x="7127852" y="56750"/>
            <a:ext cx="1339478" cy="2878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200" b="1">
                <a:solidFill>
                  <a:schemeClr val="bg1"/>
                </a:solidFill>
              </a:rPr>
              <a:t>TIR Anualizada(%)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633779</xdr:colOff>
      <xdr:row>10</xdr:row>
      <xdr:rowOff>183173</xdr:rowOff>
    </xdr:from>
    <xdr:to>
      <xdr:col>15</xdr:col>
      <xdr:colOff>0</xdr:colOff>
      <xdr:row>26</xdr:row>
      <xdr:rowOff>78398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68A1CD-92E7-41EE-9237-4ACC09C1C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659422</xdr:colOff>
      <xdr:row>41</xdr:row>
      <xdr:rowOff>190499</xdr:rowOff>
    </xdr:from>
    <xdr:to>
      <xdr:col>14</xdr:col>
      <xdr:colOff>974479</xdr:colOff>
      <xdr:row>62</xdr:row>
      <xdr:rowOff>102576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A135C77-3FE9-40FF-A501-96ABC5DBE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32">
  <rv s="0">
    <v>https://www.bing.com/financeapi/forcetrigger?t=btjrqh&amp;q=BVMF%3aTRXF11&amp;form=skydnc</v>
    <v>Learn more on Bing</v>
  </rv>
  <rv s="1">
    <v>pt-BR</v>
    <v>btjrqh</v>
    <v>268435456</v>
    <v>1</v>
    <v>Da plataforma Refinitiv</v>
    <v>0</v>
    <v>1</v>
    <v>TRX REAL ESTATE FII CF (BVMF:TRXF11)</v>
    <v>3</v>
    <v>4</v>
    <v>Finance</v>
    <v>5</v>
    <v>97.74</v>
    <v>87.36</v>
    <v>BVMF</v>
    <v>92.78</v>
    <v>92.54</v>
    <v>B3 - Brazil Stock Exchange</v>
    <v>92.66</v>
    <v>46084.947997685187</v>
    <v>0</v>
    <v>BRL</v>
    <v>TRX REAL ESTATE FII CF</v>
    <v>92.71</v>
    <v>92.54</v>
    <v>TRXF11</v>
    <v>Fundos mais negociados</v>
    <v>TRX REAL ESTATE FII CF (BVMF:TRXF11)</v>
    <v>-0.12</v>
    <v>-1.2950000000000001E-3</v>
    <v>189617</v>
  </rv>
  <rv s="2">
    <v>1</v>
  </rv>
  <rv s="0">
    <v>https://www.bing.com/financeapi/forcetrigger?t=bswvm7&amp;q=BVMF%3aBTLG11&amp;form=skydnc</v>
    <v>Learn more on Bing</v>
  </rv>
  <rv s="1">
    <v>pt-BR</v>
    <v>bswvm7</v>
    <v>268435456</v>
    <v>1</v>
    <v>Da plataforma Refinitiv</v>
    <v>0</v>
    <v>1</v>
    <v>BTG PACTUAL LOGISTICA FDO INV IMOB - FII ETF (BVMF:BTLG11)</v>
    <v>3</v>
    <v>4</v>
    <v>Finance</v>
    <v>5</v>
    <v>104.25</v>
    <v>86.34</v>
    <v>BVMF</v>
    <v>103.7</v>
    <v>103.29</v>
    <v>B3 - Brazil Stock Exchange</v>
    <v>103.1</v>
    <v>46084.947997685187</v>
    <v>3</v>
    <v>BRL</v>
    <v>BTG PACTUAL LOGISTICA FDO INV IMOB - FII ETF</v>
    <v>103.4</v>
    <v>103.32</v>
    <v>BTLG11</v>
    <v>Fundos mais negociados</v>
    <v>BTG PACTUAL LOGISTICA FDO INV IMOB - FII ETF (BVMF:BTLG11)</v>
    <v>0.22</v>
    <v>2.134E-3</v>
    <v>163256</v>
  </rv>
  <rv s="2">
    <v>4</v>
  </rv>
  <rv s="0">
    <v>https://www.bing.com/financeapi/forcetrigger?t=bgly3m&amp;q=BVMF%3aXPML11&amp;form=skydnc</v>
    <v>Learn more on Bing</v>
  </rv>
  <rv s="1">
    <v>pt-BR</v>
    <v>bgly3m</v>
    <v>268435456</v>
    <v>1</v>
    <v>Da plataforma Refinitiv</v>
    <v>0</v>
    <v>1</v>
    <v>XP MALLS FDO INV IMOB FII ETF (BVMF:XPML11)</v>
    <v>3</v>
    <v>4</v>
    <v>Finance</v>
    <v>5</v>
    <v>112.2</v>
    <v>86.76</v>
    <v>BVMF</v>
    <v>111.15</v>
    <v>110.34</v>
    <v>B3 - Brazil Stock Exchange</v>
    <v>110.89</v>
    <v>46084.947997685187</v>
    <v>6</v>
    <v>BRL</v>
    <v>XP MALLS FDO INV IMOB FII ETF</v>
    <v>111.12</v>
    <v>110.7</v>
    <v>XPML11</v>
    <v>Fundos mais negociados</v>
    <v>XP MALLS FDO INV IMOB FII ETF (BVMF:XPML11)</v>
    <v>-0.19</v>
    <v>-1.7130000000000001E-3</v>
    <v>155920</v>
  </rv>
  <rv s="2">
    <v>7</v>
  </rv>
  <rv s="0">
    <v>https://www.bing.com/financeapi/forcetrigger?t=bwrbzr&amp;q=BVMF%3aKNSC11&amp;form=skydnc</v>
    <v>Learn more on Bing</v>
  </rv>
  <rv s="1">
    <v>pt-BR</v>
    <v>bwrbzr</v>
    <v>268435456</v>
    <v>1</v>
    <v>Da plataforma Refinitiv</v>
    <v>0</v>
    <v>1</v>
    <v>KINEA SECURITIES FDO DE INV IMOB CF (BVMF:KNSC11)</v>
    <v>3</v>
    <v>4</v>
    <v>Finance</v>
    <v>5</v>
    <v>9.17</v>
    <v>7.27</v>
    <v>BVMF</v>
    <v>9.09</v>
    <v>8.9499999999999993</v>
    <v>B3 - Brazil Stock Exchange</v>
    <v>9.09</v>
    <v>46084.947997685187</v>
    <v>9</v>
    <v>BRL</v>
    <v>KINEA SECURITIES FDO DE INV IMOB CF</v>
    <v>9.09</v>
    <v>8.9700000000000006</v>
    <v>KNSC11</v>
    <v>Fundos mais negociados</v>
    <v>KINEA SECURITIES FDO DE INV IMOB CF (BVMF:KNSC11)</v>
    <v>-0.12</v>
    <v>-1.3201000000000001E-2</v>
    <v>739602</v>
  </rv>
  <rv s="2">
    <v>10</v>
  </rv>
  <rv s="0">
    <v>https://www.bing.com/financeapi/forcetrigger?t=aplygh&amp;q=BVMF%3aBBAS3&amp;form=skydnc</v>
    <v>Learn more on Bing</v>
  </rv>
  <rv s="3">
    <v>pt-BR</v>
    <v>aplygh</v>
    <v>268435456</v>
    <v>1</v>
    <v>Da plataforma Refinitiv</v>
    <v>6</v>
    <v>7</v>
    <v>Banco do Brasil S.A. (BVMF:BBAS3)</v>
    <v>8</v>
    <v>9</v>
    <v>Finance</v>
    <v>5</v>
    <v>29.1</v>
    <v>17.88</v>
    <v>BVMF</v>
    <v>5730834000</v>
    <v>26.29</v>
    <v>1808</v>
    <v>25.38</v>
    <v>0.89439999999999997</v>
    <v>B3 - Brazil Stock Exchange</v>
    <v>154445976300</v>
    <v>O BANCO DO BRASIL S.A. é uma empresa brasileira dedicada sobretudo ao setor financeiro. As atividades da Empresa estão divididas em cinco segmentos: bancário, investimentos, gestão de ativos, segurança e tipos de pagamento. O Banco também participa de outras atividades econômicas, como leasing e suporte operacional. O Banco tem clientes individuais e corporativos. Oferece uma variedade de produtos e serviços financeiros, como depósitos, contas poupança, gestão de ativos, empréstimos, e seguros de saúde, de vida e patrimonial. Além disso, oferece transações financeiras em várias formas, incluindo operações cambiais e atividades complementares, com ênfase na previdência privada, capitalização, valores mobiliários, corretagem, administração de cartões de crédito e de débito, consórcios, fundos de investimento e portfólios de gestão. O BANCO DO BRASIL S.A. atua nos mercados nacional e internacional.</v>
    <v>BVMF</v>
    <v>26.89</v>
    <v>85953</v>
    <v>46084.947916666664</v>
    <v>12</v>
    <v>37161440</v>
    <v>BRL</v>
    <v>Banco do Brasil S.A.</v>
    <v>Banco do Brasil S.A.</v>
    <v>26.18</v>
    <v>25.77</v>
    <v>Saun Quadra 05, Lote B Ed. BB, Asa Norte, BRASILIA, 70.040-912 BR</v>
    <v>Banking Services</v>
    <v>BBAS3</v>
    <v>Ações</v>
    <v>Banco do Brasil S.A. (BVMF:BBAS3)</v>
    <v>-1.1200000000000001</v>
    <v>-4.1651000000000001E-2</v>
    <v>62065500</v>
  </rv>
  <rv s="2">
    <v>13</v>
  </rv>
  <rv s="0">
    <v>https://www.bing.com/financeapi/forcetrigger?t=aplurw&amp;q=BVMF%3aRBVA11&amp;form=skydnc</v>
    <v>Learn more on Bing</v>
  </rv>
  <rv s="1">
    <v>pt-BR</v>
    <v>aplurw</v>
    <v>268435456</v>
    <v>1</v>
    <v>Da plataforma Refinitiv</v>
    <v>0</v>
    <v>1</v>
    <v>FDO INV IMOB AGENCIAS CAIXA ETF (BVMF:RBVA11)</v>
    <v>3</v>
    <v>4</v>
    <v>Finance</v>
    <v>5</v>
    <v>10.34</v>
    <v>6.78</v>
    <v>BVMF</v>
    <v>9.89</v>
    <v>9.77</v>
    <v>B3 - Brazil Stock Exchange</v>
    <v>9.8699999999999992</v>
    <v>46084.947997685187</v>
    <v>15</v>
    <v>BRL</v>
    <v>FDO INV IMOB AGENCIAS CAIXA ETF</v>
    <v>9.89</v>
    <v>9.85</v>
    <v>RBVA11</v>
    <v>Fundos mais negociados</v>
    <v>FDO INV IMOB AGENCIAS CAIXA ETF (BVMF:RBVA11)</v>
    <v>-0.02</v>
    <v>-2.026E-3</v>
    <v>262997</v>
  </rv>
  <rv s="2">
    <v>16</v>
  </rv>
  <rv s="4">
    <v>pt-BR</v>
    <v>cfasu2</v>
    <v>268435456</v>
    <v>1</v>
    <v>Da plataforma Refinitiv</v>
    <v>10</v>
    <v>11</v>
    <v>TRX HEDGE FUND FDO INV IMOB CF (BVMF:TRXY11)</v>
    <v>12</v>
    <v>4</v>
    <v>Finance</v>
    <v>5</v>
    <v>10.06</v>
    <v>7.38</v>
    <v>BVMF</v>
    <v>9.68</v>
    <v>9.3000000000000007</v>
    <v>B3 - Brazil Stock Exchange</v>
    <v>9.3000000000000007</v>
    <v>46084.947997685187</v>
    <v>BRL</v>
    <v>TRX HEDGE FUND FDO INV IMOB CF</v>
    <v>9.35</v>
    <v>9.3000000000000007</v>
    <v>TRXY11</v>
    <v>Fundos mais negociados</v>
    <v>TRX HEDGE FUND FDO INV IMOB CF (BVMF:TRXY11)</v>
    <v>0</v>
    <v>0</v>
    <v>4938</v>
  </rv>
  <rv s="2">
    <v>18</v>
  </rv>
  <rv s="0">
    <v>https://www.bing.com/financeapi/forcetrigger?t=apmqh7&amp;q=BVMF%3aHGLG11&amp;form=skydnc</v>
    <v>Learn more on Bing</v>
  </rv>
  <rv s="1">
    <v>pt-BR</v>
    <v>apmqh7</v>
    <v>268435456</v>
    <v>1</v>
    <v>Da plataforma Refinitiv</v>
    <v>0</v>
    <v>1</v>
    <v>FDO INV IMOB CSHG LOGISTICA CF (BVMF:HGLG11)</v>
    <v>3</v>
    <v>4</v>
    <v>Finance</v>
    <v>5</v>
    <v>159.13</v>
    <v>135.82</v>
    <v>BVMF</v>
    <v>158.82</v>
    <v>157.76</v>
    <v>B3 - Brazil Stock Exchange</v>
    <v>158.44</v>
    <v>46084.947997685187</v>
    <v>20</v>
    <v>BRL</v>
    <v>FDO INV IMOB CSHG LOGISTICA CF</v>
    <v>158.66</v>
    <v>158.15</v>
    <v>HGLG11</v>
    <v>Fundos mais negociados</v>
    <v>FDO INV IMOB CSHG LOGISTICA CF (BVMF:HGLG11)</v>
    <v>-0.28999999999999998</v>
    <v>-1.83E-3</v>
    <v>81286</v>
  </rv>
  <rv s="2">
    <v>21</v>
  </rv>
  <rv s="0">
    <v>https://www.bing.com/financeapi/forcetrigger?t=bglxzr&amp;q=BVMF%3aXPLG11&amp;form=skydnc</v>
    <v>Learn more on Bing</v>
  </rv>
  <rv s="1">
    <v>pt-BR</v>
    <v>bglxzr</v>
    <v>268435456</v>
    <v>1</v>
    <v>Da plataforma Refinitiv</v>
    <v>0</v>
    <v>1</v>
    <v>XP LOG FDO INV IMOB CF (BVMF:XPLG11)</v>
    <v>3</v>
    <v>4</v>
    <v>Finance</v>
    <v>5</v>
    <v>104.28</v>
    <v>81.34</v>
    <v>BVMF</v>
    <v>102.45</v>
    <v>101.26</v>
    <v>B3 - Brazil Stock Exchange</v>
    <v>102.02</v>
    <v>46084.947997685187</v>
    <v>23</v>
    <v>BRL</v>
    <v>XP LOG FDO INV IMOB CF</v>
    <v>102.3</v>
    <v>101.53</v>
    <v>XPLG11</v>
    <v>Fundos mais negociados</v>
    <v>XP LOG FDO INV IMOB CF (BVMF:XPLG11)</v>
    <v>-0.49</v>
    <v>-4.803E-3</v>
    <v>73354</v>
  </rv>
  <rv s="2">
    <v>24</v>
  </rv>
  <rv s="0">
    <v>https://www.bing.com/financeapi/forcetrigger?t=apms77&amp;q=BVMF%3aITSA4&amp;form=skydnc</v>
    <v>Learn more on Bing</v>
  </rv>
  <rv s="3">
    <v>pt-BR</v>
    <v>apms77</v>
    <v>268435456</v>
    <v>1</v>
    <v>Da plataforma Refinitiv</v>
    <v>6</v>
    <v>7</v>
    <v>ITAÚSA S.A. (BVMF:ITSA4)</v>
    <v>8</v>
    <v>9</v>
    <v>Finance</v>
    <v>5</v>
    <v>15.09</v>
    <v>7.82</v>
    <v>BVMF</v>
    <v>11213690000</v>
    <v>13.7</v>
    <v>1966</v>
    <v>13.25</v>
    <v>1.1884999999999999</v>
    <v>B3 - Brazil Stock Exchange</v>
    <v>152506184000</v>
    <v>A Itausa SA, anteriormente a Itausa Investimentos, é uma holding de investimentos sediada no Brasil que atua através de suas subsidiárias. As atividades do Grupo estão divididas em dois setores: Financeiro e não financeiro. O setor financeiro inclui o Itau Unibanco, que fornece uma ampla gama de serviços e produtos bancários e não bancários a uma base de clientes diversificada, em três segmentos de negócios: Varejo, Negócios por Atacado e Atividades com o Mercado e Corporação. O setor não financeiro inclui a Aegea, prestadora de serviços de saneamento básico de utilidade pública, bem como a Dexco, que atua em duas áreas de negócio: Madeira e Acabamentos de Construção. A Itausa SA opera em mais de 50 países.</v>
    <v>BVMF</v>
    <v>14.14</v>
    <v>127000</v>
    <v>46084.947916666664</v>
    <v>26</v>
    <v>29810690</v>
    <v>BRL</v>
    <v>ITAÚSA S.A.</v>
    <v>ITAÚSA S.A.</v>
    <v>13.51</v>
    <v>13.6</v>
    <v>Avenida Paulista, 1938, 5 andar, Bela Vista, SAO PAULO, SAO PAULO, 01.310-200 BR</v>
    <v>Banking Services</v>
    <v>ITSA4</v>
    <v>Ações</v>
    <v>ITAÚSA S.A. (BVMF:ITSA4)</v>
    <v>-0.54</v>
    <v>-3.8190000000000002E-2</v>
    <v>36863700</v>
  </rv>
  <rv s="2">
    <v>27</v>
  </rv>
  <rv s="0">
    <v>https://www.bing.com/financeapi/forcetrigger?t=apmgoc&amp;q=BVMF%3aEGIE3&amp;form=skydnc</v>
    <v>Learn more on Bing</v>
  </rv>
  <rv s="3">
    <v>pt-BR</v>
    <v>apmgoc</v>
    <v>268435456</v>
    <v>1</v>
    <v>Da plataforma Refinitiv</v>
    <v>6</v>
    <v>7</v>
    <v>ENGIE BRASIL ENERGIA S.A. (BVMF:EGIE3)</v>
    <v>8</v>
    <v>9</v>
    <v>Finance</v>
    <v>5</v>
    <v>35.19</v>
    <v>25.02</v>
    <v>BVMF</v>
    <v>1142299000</v>
    <v>32.47</v>
    <v>1998</v>
    <v>31.62</v>
    <v>0.58460000000000001</v>
    <v>B3 - Brazil Stock Exchange</v>
    <v>36850565740</v>
    <v>A ENGIE Brasil Energia S.A., anteriormente Tractebel Energia S.A., é uma concessionária de serviços públicos independente. A Companhia atua no ramo de geração e comercialização de energia elétrica. A empresa desenvolve e opera usinas de energia. A Companhia instala e opera usinas movidas a fontes convencionais de energia, como hidrelétricas, termelétricas e unidades complementares, pequenas centrais hidrelétricas e eólica, biomassa e fotovoltaica. A capacidade instalada da Companhia, incluindo suas participações em consórcios de geração de energia, é de aproximadamente 7.000 megawatts. O parque gerador em operação da Companhia é composto por 29 usinas, sendo nove hidrelétricas, sete termelétricas (três a carvão, três biomassa e uma a gás natural), três pequenas centrais hidrelétricas (PCH), nove eólicas e uma fotovoltaica Planta de energia solar. A Companhia é controlada pela ENGIE Brasil Participações Ltda.</v>
    <v>BVMF</v>
    <v>33.31</v>
    <v>1173</v>
    <v>46084.947916666664</v>
    <v>29</v>
    <v>1861230</v>
    <v>BRL</v>
    <v>ENGIE BRASIL ENERGIA S.A.</v>
    <v>ENGIE BRASIL ENERGIA S.A.</v>
    <v>32.200000000000003</v>
    <v>32.26</v>
    <v>Rua Paschoal Apostolo Pitsica, 5064, Agronomica, FLORIANOPOLIS, SANTA CATARINA, 88.025-255 BR</v>
    <v>Electrical Utilities &amp; IPPs</v>
    <v>EGIE3</v>
    <v>Ações</v>
    <v>ENGIE BRASIL ENERGIA S.A. (BVMF:EGIE3)</v>
    <v>-1.05</v>
    <v>-3.1522000000000001E-2</v>
    <v>3169700</v>
  </rv>
  <rv s="2">
    <v>30</v>
  </rv>
</rvData>
</file>

<file path=xl/richData/rdrichvaluestructure.xml><?xml version="1.0" encoding="utf-8"?>
<rvStructures xmlns="http://schemas.microsoft.com/office/spreadsheetml/2017/richdata" count="5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">
    <k n="%cvi" t="r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ções em circulação"/>
    <k n="Alto"/>
    <k n="Ano de incorporação"/>
    <k n="Baixo"/>
    <k n="Beta"/>
    <k n="Bolsa" t="s"/>
    <k n="Capitalização de mercado"/>
    <k n="Descrição" t="s"/>
    <k n="ExchangeID" t="s"/>
    <k n="Fechamento anterior"/>
    <k n="Funcionários"/>
    <k n="Hora da última transação"/>
    <k n="LearnMoreOnLink" t="r"/>
    <k n="Média de volume"/>
    <k n="Moeda" t="s"/>
    <k n="Nome" t="s"/>
    <k n="Nome oficial" t="s"/>
    <k n="Pendência"/>
    <k n="Preço"/>
    <k n="Sede" t="s"/>
    <k n="Setor" t="s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</rvStructures>
</file>

<file path=xl/richData/rdsupportingpropertybag.xml><?xml version="1.0" encoding="utf-8"?>
<supportingPropertyBags xmlns="http://schemas.microsoft.com/office/spreadsheetml/2017/richdata2">
  <spbArrays count="3">
    <a count="31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LearnMoreOnLink</v>
      <v t="s">%ProviderInfo</v>
    </a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Nome oficial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Ações em circulação</v>
      <v t="s">Descrição</v>
      <v t="s">Funcionários</v>
      <v t="s">Sede</v>
      <v t="s">Setor</v>
      <v t="s">Tipo de instrumento</v>
      <v t="s">Ano de incorporação</v>
      <v t="s">_Flags</v>
      <v t="s">UniqueName</v>
      <v t="s">_DisplayString</v>
      <v t="s">LearnMoreOnLink</v>
      <v t="s">ExchangeID</v>
      <v t="s">%ProviderInfo</v>
    </a>
    <a count="30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%ProviderInfo</v>
    </a>
  </spbArrays>
  <spbData count="13">
    <spb s="0">
      <v>High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Last trade time</v>
    </spb>
    <spb s="1">
      <v>0</v>
      <v>Name</v>
      <v>LearnMoreOnLink</v>
    </spb>
    <spb s="2">
      <v>0</v>
      <v>0</v>
      <v>0</v>
    </spb>
    <spb s="3">
      <v>2</v>
      <v>2</v>
      <v>2</v>
    </spb>
    <spb s="4">
      <v>1</v>
      <v>2</v>
      <v>1</v>
      <v>1</v>
      <v>3</v>
      <v>1</v>
      <v>1</v>
      <v>4</v>
      <v>5</v>
      <v>1</v>
      <v>1</v>
      <v>1</v>
      <v>6</v>
    </spb>
    <spb s="5">
      <v>Atraso de 30 minutos</v>
      <v xml:space="preserve">do fechamento anterior </v>
      <v xml:space="preserve">do fechamento anterior </v>
      <v>GMT</v>
    </spb>
    <spb s="6">
      <v>High</v>
      <v>Beta</v>
      <v>Name</v>
      <v>Headquarters</v>
      <v>Low</v>
      <v>Exchange</v>
      <v>Currency</v>
      <v>Price</v>
      <v>Industry</v>
      <v>Volume</v>
      <v>Change</v>
      <v>Description</v>
      <v>Open</v>
      <v>ExchangeID</v>
      <v>UniqueName</v>
      <v>Employees</v>
      <v>Official name</v>
      <v>Change (%)</v>
      <v>%ProviderInfo</v>
      <v>LearnMoreOnLink</v>
      <v>Volume average</v>
      <v>Ticker symbol</v>
      <v>52 week high</v>
      <v>52 week low</v>
      <v>Year incorporated</v>
      <v>Shares outstanding</v>
      <v>Previous close</v>
      <v>Instrument type</v>
      <v>Exchange abbreviation</v>
      <v>Market cap</v>
      <v>Last trade time</v>
    </spb>
    <spb s="1">
      <v>1</v>
      <v>Name</v>
      <v>LearnMoreOnLink</v>
    </spb>
    <spb s="7">
      <v>2</v>
      <v>2</v>
      <v>2</v>
      <v>2</v>
    </spb>
    <spb s="8">
      <v>1</v>
      <v>7</v>
      <v>2</v>
      <v>1</v>
      <v>1</v>
      <v>3</v>
      <v>1</v>
      <v>1</v>
      <v>3</v>
      <v>4</v>
      <v>3</v>
      <v>5</v>
      <v>1</v>
      <v>1</v>
      <v>8</v>
      <v>3</v>
      <v>1</v>
      <v>9</v>
      <v>6</v>
    </spb>
    <spb s="9">
      <v>High</v>
      <v>Name</v>
      <v>Low</v>
      <v>Exchange</v>
      <v>Currency</v>
      <v>Price</v>
      <v>Volume</v>
      <v>Change</v>
      <v>Open</v>
      <v>UniqueName</v>
      <v>Change (%)</v>
      <v>%ProviderInfo</v>
      <v>Ticker symbol</v>
      <v>52 week high</v>
      <v>52 week low</v>
      <v>Previous close</v>
      <v>Instrument type</v>
      <v>Exchange abbreviation</v>
      <v>Last trade time</v>
    </spb>
    <spb s="10">
      <v>2</v>
      <v>Name</v>
    </spb>
    <spb s="11">
      <v>2</v>
      <v>2</v>
    </spb>
  </spbData>
</supportingPropertyBags>
</file>

<file path=xl/richData/rdsupportingpropertybagstructure.xml><?xml version="1.0" encoding="utf-8"?>
<spbStructures xmlns="http://schemas.microsoft.com/office/spreadsheetml/2017/richdata2" count="12"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Alto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Preço" t="s"/>
    <k n="Variação" t="s"/>
    <k n="Variação (%)" t="s"/>
    <k n="Hora da última transação" t="s"/>
  </s>
  <s>
    <k n="Alto" t="s"/>
    <k n="Beta" t="s"/>
    <k n="Nome" t="s"/>
    <k n="Sede" t="s"/>
    <k n="Baixo" t="s"/>
    <k n="Bolsa" t="s"/>
    <k n="Moeda" t="s"/>
    <k n="Preço" t="s"/>
    <k n="Setor" t="s"/>
    <k n="Volume" t="s"/>
    <k n="Variação" t="s"/>
    <k n="Descrição" t="s"/>
    <k n="Pendência" t="s"/>
    <k n="ExchangeID" t="s"/>
    <k n="UniqueName" t="s"/>
    <k n="Funcionários" t="s"/>
    <k n="Nome oficial" t="s"/>
    <k n="Variação (%)" t="s"/>
    <k n="%ProviderInfo" t="s"/>
    <k n="LearnMoreOnLink" t="s"/>
    <k n="Média de volume" t="s"/>
    <k n="Símbolo do ticker" t="s"/>
    <k n="52 semanas de alta" t="s"/>
    <k n="52 semanas de baixa" t="s"/>
    <k n="Ano de incorporação" t="s"/>
    <k n="Ações em circulação" t="s"/>
    <k n="Fechamento anterior" t="s"/>
    <k n="Tipo de instrumento" t="s"/>
    <k n="Abreviatura do câmbio" t="s"/>
    <k n="Capitalização de mercado" t="s"/>
    <k n="Hora da última transação" t="s"/>
  </s>
  <s>
    <k n="ExchangeID" t="spb"/>
    <k n="UniqueName" t="spb"/>
    <k n="`%ProviderInfo" t="spb"/>
    <k n="LearnMoreOnLink" t="spb"/>
  </s>
  <s>
    <k n="Alto" t="i"/>
    <k n="Beta" t="i"/>
    <k n="Nome" t="i"/>
    <k n="Baixo" t="i"/>
    <k n="Preço" t="i"/>
    <k n="Volume" t="i"/>
    <k n="Variação" t="i"/>
    <k n="Pendência" t="i"/>
    <k n="Funcionários" t="i"/>
    <k n="Variação (%)" t="i"/>
    <k n="Média de volume" t="i"/>
    <k n="`%EntityServiceId" t="i"/>
    <k n="52 semanas de alta" t="i"/>
    <k n="52 semanas de baixa" t="i"/>
    <k n="Ano de incorporação" t="i"/>
    <k n="Ações em circulação" t="i"/>
    <k n="Fechamento anterior" t="i"/>
    <k n="Capitalização de mercado" t="i"/>
    <k n="Hora da última transação" t="i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^Order" t="spba"/>
    <k n="TitleProperty" t="s"/>
  </s>
  <s>
    <k n="UniqueName" t="spb"/>
    <k n="`%ProviderInfo" t="spb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</dxfs>
  <richProperties>
    <rPr n="NumberFormat" t="s"/>
    <rPr n="IsTitleField" t="b"/>
  </richProperties>
  <richStyles>
    <rSty dxfid="1">
      <rpv i="0">_-[$R$-pt-BR] * #,##0.00_-;-[$R$-pt-BR] * #,##0.00_-;_-[$R$-pt-BR] * "-"??_-;_-@_-</rpv>
    </rSty>
    <rSty>
      <rpv i="1">1</rpv>
    </rSty>
    <rSty dxfid="4">
      <rpv i="0">#,##0</rpv>
    </rSty>
    <rSty dxfid="3"/>
    <rSty dxfid="0">
      <rpv i="0">0.00</rpv>
    </rSty>
    <rSty dxfid="2"/>
    <rSty dxfid="5">
      <rpv i="0">#,##0.00</rpv>
    </rSty>
    <rSty dxfid="6">
      <rpv i="0">0</rpv>
    </rSty>
    <rSty dxfid="1">
      <rpv i="0">_-[$R$-pt-BR] * #,##0_-;-[$R$-pt-BR] * #,##0_-;_-[$R$-pt-BR] * "-"_-;_-@_-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BFE914-455D-4117-8F52-21D78CE68E7C}" name="TabelaGeral" displayName="TabelaGeral" ref="A6:L17" totalsRowShown="0" headerRowDxfId="49" dataDxfId="48">
  <autoFilter ref="A6:L17" xr:uid="{0ABFE914-455D-4117-8F52-21D78CE68E7C}"/>
  <tableColumns count="12">
    <tableColumn id="1" xr3:uid="{30323829-AE7D-4F72-BCF6-B16B9BB3C174}" name="ID " dataDxfId="47"/>
    <tableColumn id="2" xr3:uid="{6578133B-79CE-445A-AEB5-2483BE805808}" name="Ativo" dataDxfId="46"/>
    <tableColumn id="13" xr3:uid="{4A790918-EFFA-4819-A91B-E900BDAFF102}" name=" Tipo Ativo " dataDxfId="45"/>
    <tableColumn id="12" xr3:uid="{8965434C-2368-4D48-B9AF-C80B2B66E1FC}" name=" Setor Segmento" dataDxfId="44"/>
    <tableColumn id="3" xr3:uid="{300E29AB-B1B7-41DC-B3D9-D2712A44181B}" name="Quantidade" dataDxfId="43">
      <calculatedColumnFormula>SUMIFS(Aportes!H:H,Aportes!B:B,TabelaGeral[[#This Row],[ID ]])</calculatedColumnFormula>
    </tableColumn>
    <tableColumn id="4" xr3:uid="{BE350382-0D5F-4B4F-8A8A-F6B4E8FB7FE7}" name="Preço Médio" dataDxfId="42">
      <calculatedColumnFormula>AVERAGEIFS(Aportes!G:G,Aportes!B:B,TabelaGeral[[#This Row],[ID ]])</calculatedColumnFormula>
    </tableColumn>
    <tableColumn id="5" xr3:uid="{9DD8A7B1-E056-4CFF-9BC5-5375F6D8BCFB}" name="Preço Atual" dataDxfId="41">
      <calculatedColumnFormula array="1">_FV(B7,"Preço")</calculatedColumnFormula>
    </tableColumn>
    <tableColumn id="6" xr3:uid="{111BB443-1BEA-43BB-8B29-A47C5AED8F78}" name="Valor Aplicado" dataDxfId="40">
      <calculatedColumnFormula>SUMIFS(Aportes!I:I,Aportes!B:B,TabelaGeral[[#This Row],[ID ]])</calculatedColumnFormula>
    </tableColumn>
    <tableColumn id="10" xr3:uid="{35AD0309-6987-4C2C-9147-8CB0715E474A}" name="Valor Total" dataDxfId="39">
      <calculatedColumnFormula>SUM(H7,J7)</calculatedColumnFormula>
    </tableColumn>
    <tableColumn id="8" xr3:uid="{17F45076-F812-4E2C-A9BD-53E949A9B430}" name="Dividendos" dataDxfId="38">
      <calculatedColumnFormula>SUMIFS(Dividendos!G:G,Dividendos!B:B,TabelaGeral[[#This Row],[ID ]])</calculatedColumnFormula>
    </tableColumn>
    <tableColumn id="9" xr3:uid="{58F67EF5-5A29-463C-8690-130D89ABDC2C}" name="Rentabilidade" dataDxfId="37" dataCellStyle="Porcentagem">
      <calculatedColumnFormula>(TabelaGeral[[#This Row],[Valor Total]] + TabelaGeral[[#This Row],[Dividendos]] - TabelaGeral[[#This Row],[Valor Aplicado]]) / TabelaGeral[[#This Row],[Valor Aplicado]]</calculatedColumnFormula>
    </tableColumn>
    <tableColumn id="11" xr3:uid="{89A86692-F046-4215-807D-C76FF0129C46}" name="Valorização da Cota" dataDxfId="36" dataCellStyle="Porcentagem">
      <calculatedColumnFormula>(TabelaGeral[[#This Row],[Preço Atual]]-TabelaGeral[[#This Row],[Preço Médio]])/TabelaGeral[[#This Row],[Preço Médio]]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C3B8F8-2BD0-4E23-AD69-F164B7797B2A}" name="Tabela1" displayName="Tabela1" ref="B2:E13" totalsRowShown="0" headerRowDxfId="35" dataDxfId="34">
  <autoFilter ref="B2:E13" xr:uid="{7EC3B8F8-2BD0-4E23-AD69-F164B7797B2A}"/>
  <tableColumns count="4">
    <tableColumn id="1" xr3:uid="{28767DE4-A17A-4C3E-A2D3-C6897CAB04BE}" name="ID " dataDxfId="33"/>
    <tableColumn id="2" xr3:uid="{4A177F75-68FB-4E8C-83A7-5521AB7A4BC7}" name="Ativo" dataDxfId="32"/>
    <tableColumn id="3" xr3:uid="{E9C26BC8-283D-43B7-802A-FBC17FBDB3CC}" name=" TipoAtivo " dataDxfId="31"/>
    <tableColumn id="4" xr3:uid="{3B96FE5D-9811-42C8-8766-82BF6A884B25}" name=" SetorSegmento" dataDxfId="30"/>
  </tableColumns>
  <tableStyleInfo name="TableStyleDark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3204AD-7133-49C0-A55F-6BEC51D420E0}" name="TabelaAporte" displayName="TabelaAporte" ref="B2:I308" totalsRowShown="0" headerRowDxfId="29" dataDxfId="28" tableBorderDxfId="27">
  <autoFilter ref="B2:I308" xr:uid="{AC3204AD-7133-49C0-A55F-6BEC51D420E0}"/>
  <sortState xmlns:xlrd2="http://schemas.microsoft.com/office/spreadsheetml/2017/richdata2" ref="B3:I308">
    <sortCondition ref="C3:C308"/>
  </sortState>
  <tableColumns count="8">
    <tableColumn id="1" xr3:uid="{B48B383B-3046-4D83-9A10-BEECA31A18EB}" name="ID" dataDxfId="26"/>
    <tableColumn id="2" xr3:uid="{9EFFF351-AC4C-4D90-9F59-E0D0FD9825FD}" name="Data" dataDxfId="25"/>
    <tableColumn id="3" xr3:uid="{FB2C6147-0C82-4246-86CE-88B0749F5391}" name="Ativo" dataDxfId="2">
      <calculatedColumnFormula>_xlfn.XLOOKUP(TabelaAporte[[#This Row],[ID]],Tabela1[[ID ]],Tabela1[Ativo])</calculatedColumnFormula>
    </tableColumn>
    <tableColumn id="9" xr3:uid="{BE9F5B68-047B-477D-BE77-01BFA3B8CF76}" name="Tipo" dataDxfId="0">
      <calculatedColumnFormula>_xlfn.XLOOKUP(TabelaAporte[[#This Row],[ID]],Tabela1[[ID ]],Tabela1[[ TipoAtivo ]])</calculatedColumnFormula>
    </tableColumn>
    <tableColumn id="8" xr3:uid="{AD0A9C9D-9A10-4E69-9FF3-5E4B321483FD}" name="Setor" dataDxfId="1">
      <calculatedColumnFormula>_xlfn.XLOOKUP(TabelaAporte[[#This Row],[ID]],TabelaGeral[[ID ]],TabelaGeral[[ Setor Segmento]],)</calculatedColumnFormula>
    </tableColumn>
    <tableColumn id="4" xr3:uid="{AAFCAD87-3AC3-43C5-AD84-7C49939AA3E1}" name="Valor Unitário" dataDxfId="24"/>
    <tableColumn id="5" xr3:uid="{8AF5716C-259B-4694-B7F2-A9ED19C05952}" name="Cotas" dataDxfId="23"/>
    <tableColumn id="6" xr3:uid="{E7A8058C-F37E-4EE1-B8CD-7B15446C5B79}" name="Valor Total" dataDxfId="2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506FC3-1AAA-4C20-B752-50E1BBA570D6}" name="TabelaDividendos" displayName="TabelaDividendos" ref="B2:G228" totalsRowShown="0" headerRowDxfId="21" dataDxfId="20" tableBorderDxfId="19">
  <autoFilter ref="B2:G228" xr:uid="{FF506FC3-1AAA-4C20-B752-50E1BBA570D6}"/>
  <sortState xmlns:xlrd2="http://schemas.microsoft.com/office/spreadsheetml/2017/richdata2" ref="B3:G228">
    <sortCondition ref="C3:C228"/>
  </sortState>
  <tableColumns count="6">
    <tableColumn id="1" xr3:uid="{7BD4DB0B-755E-4A76-BB7D-8C590B44BBC3}" name="ID" dataDxfId="18"/>
    <tableColumn id="2" xr3:uid="{CE578DAF-0AEB-435D-850D-0054EB94D68D}" name="Data" dataDxfId="17"/>
    <tableColumn id="3" xr3:uid="{00B94EFF-FC6A-47D1-82AF-46D34208280A}" name="Ativo" dataDxfId="16">
      <calculatedColumnFormula>_xlfn.XLOOKUP(TabelaDividendos[[#This Row],[ID]],Tabela1[[ID ]],Tabela1[Ativo])</calculatedColumnFormula>
    </tableColumn>
    <tableColumn id="6" xr3:uid="{9BD52CEF-A13C-421D-9B86-B631390F31FD}" name="Tipo" dataDxfId="15">
      <calculatedColumnFormula>_xlfn.XLOOKUP(TabelaDividendos[[#This Row],[ID]],TabelaGeral[[ID ]],TabelaGeral[[ Tipo Ativo ]])</calculatedColumnFormula>
    </tableColumn>
    <tableColumn id="5" xr3:uid="{A36D4BB5-3BC1-4C17-97D0-9E0454FDC683}" name="Setor" dataDxfId="14">
      <calculatedColumnFormula>_xlfn.XLOOKUP(TabelaDividendos[[#This Row],[ID]],TabelaGeral[[ID ]],TabelaGeral[[ Setor Segmento]])</calculatedColumnFormula>
    </tableColumn>
    <tableColumn id="4" xr3:uid="{4C9B4AD9-44C2-4087-BD3C-2050F261BCED}" name="Dividendo" dataDxfId="13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526322-1E31-4322-8461-F24F0221C7EC}" name="Tabela6" displayName="Tabela6" ref="A1:E26" totalsRowShown="0">
  <autoFilter ref="A1:E26" xr:uid="{4B526322-1E31-4322-8461-F24F0221C7EC}"/>
  <tableColumns count="5">
    <tableColumn id="1" xr3:uid="{1A4F7672-071B-4F04-837C-1437790E41A6}" name="Linha do Tempo" dataDxfId="12"/>
    <tableColumn id="2" xr3:uid="{7976FBDE-EC6E-4ABD-9F36-3742E56380C7}" name="Valores"/>
    <tableColumn id="3" xr3:uid="{C0928036-096B-4ED9-AA3A-6D867AC87852}" name="Previsão" dataDxfId="11">
      <calculatedColumnFormula>_xlfn.FORECAST.ETS(A2,$B$2:$B$13,$A$2:$A$13,1,1)</calculatedColumnFormula>
    </tableColumn>
    <tableColumn id="4" xr3:uid="{901A75D6-874B-41BE-A73F-F5ECC5CAB7E1}" name="Limite de Confiança Inferior" dataDxfId="10">
      <calculatedColumnFormula>C2-_xlfn.FORECAST.ETS.CONFINT(A2,$B$2:$B$13,$A$2:$A$13,0.85,1,1)</calculatedColumnFormula>
    </tableColumn>
    <tableColumn id="5" xr3:uid="{44924379-6F8A-488C-8DA9-A494C2219D82}" name="Limite de Confiança Superior" dataDxfId="9">
      <calculatedColumnFormula>C2+_xlfn.FORECAST.ETS.CONFINT(A2,$B$2:$B$13,$A$2:$A$13,0.85,1,1)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F7BEF0-342C-479B-9BA0-CB4600C96CE4}" name="Tabela5" displayName="Tabela5" ref="B2:C134" totalsRowShown="0" headerRowDxfId="8" headerRowBorderDxfId="7" tableBorderDxfId="6" totalsRowBorderDxfId="5">
  <autoFilter ref="B2:C134" xr:uid="{45F7BEF0-342C-479B-9BA0-CB4600C96CE4}"/>
  <tableColumns count="2">
    <tableColumn id="1" xr3:uid="{75C619B0-8AE5-4376-BADA-A99C81F54F55}" name="Data" dataDxfId="4"/>
    <tableColumn id="2" xr3:uid="{48FFB27F-6C03-40D0-B6CA-569218988FAF}" name="Fluxo" dataDxfId="3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D1F2-336A-4185-BB48-9E63B8507E34}">
  <dimension ref="A2:L17"/>
  <sheetViews>
    <sheetView showGridLines="0" zoomScale="110" zoomScaleNormal="110" workbookViewId="0">
      <selection activeCell="J4" sqref="J4"/>
    </sheetView>
  </sheetViews>
  <sheetFormatPr defaultRowHeight="15"/>
  <cols>
    <col min="1" max="1" width="5.5703125" style="33" bestFit="1" customWidth="1"/>
    <col min="2" max="2" width="62" style="33" bestFit="1" customWidth="1"/>
    <col min="3" max="3" width="15.42578125" style="33" bestFit="1" customWidth="1"/>
    <col min="4" max="4" width="20.28515625" style="33" bestFit="1" customWidth="1"/>
    <col min="5" max="5" width="16" style="33" bestFit="1" customWidth="1"/>
    <col min="6" max="6" width="16.85546875" style="33" bestFit="1" customWidth="1"/>
    <col min="7" max="7" width="15.7109375" style="33" bestFit="1" customWidth="1"/>
    <col min="8" max="8" width="18.5703125" style="33" bestFit="1" customWidth="1"/>
    <col min="9" max="9" width="15.140625" style="33" bestFit="1" customWidth="1"/>
    <col min="10" max="10" width="15.5703125" style="33" bestFit="1" customWidth="1"/>
    <col min="11" max="11" width="18.140625" style="33" bestFit="1" customWidth="1"/>
    <col min="12" max="12" width="23" style="33" bestFit="1" customWidth="1"/>
    <col min="13" max="16384" width="9.140625" style="33"/>
  </cols>
  <sheetData>
    <row r="2" spans="1:12">
      <c r="C2" s="40">
        <f>SUM(TabelaGeral[Valor Aplicado],TabelaGeral[Dividendos])</f>
        <v>7031.8099999999995</v>
      </c>
      <c r="D2" s="40"/>
      <c r="E2" s="40">
        <f>SUM(TabelaGeral[Dividendos])</f>
        <v>333.07000000000005</v>
      </c>
    </row>
    <row r="6" spans="1:12">
      <c r="A6" s="34" t="s">
        <v>0</v>
      </c>
      <c r="B6" s="35" t="s">
        <v>10</v>
      </c>
      <c r="C6" s="35" t="s">
        <v>21</v>
      </c>
      <c r="D6" s="35" t="s">
        <v>20</v>
      </c>
      <c r="E6" s="35" t="s">
        <v>11</v>
      </c>
      <c r="F6" s="35" t="s">
        <v>12</v>
      </c>
      <c r="G6" s="35" t="s">
        <v>13</v>
      </c>
      <c r="H6" s="35" t="s">
        <v>19</v>
      </c>
      <c r="I6" s="35" t="s">
        <v>18</v>
      </c>
      <c r="J6" s="35" t="s">
        <v>56</v>
      </c>
      <c r="K6" s="35" t="s">
        <v>53</v>
      </c>
      <c r="L6" s="35" t="s">
        <v>55</v>
      </c>
    </row>
    <row r="7" spans="1:12">
      <c r="A7" s="35">
        <v>1</v>
      </c>
      <c r="B7" s="35" t="e" vm="1">
        <v>#VALUE!</v>
      </c>
      <c r="C7" s="35" t="s">
        <v>1</v>
      </c>
      <c r="D7" s="35" t="s">
        <v>2</v>
      </c>
      <c r="E7" s="35">
        <f>SUMIFS(Aportes!H:H,Aportes!B:B,TabelaGeral[[#This Row],[ID ]])</f>
        <v>16</v>
      </c>
      <c r="F7" s="36">
        <f>AVERAGEIFS(Aportes!G:G,Aportes!B:B,TabelaGeral[[#This Row],[ID ]])</f>
        <v>99.949375000000003</v>
      </c>
      <c r="G7" s="36" cm="1">
        <f t="array" ref="G7">_FV(B7,"Preço")</f>
        <v>92.54</v>
      </c>
      <c r="H7" s="37">
        <f>SUMIFS(Aportes!I:I,Aportes!B:B,TabelaGeral[[#This Row],[ID ]])</f>
        <v>1599.19</v>
      </c>
      <c r="I7" s="38">
        <f>SUM(H7,J7)</f>
        <v>1702.3</v>
      </c>
      <c r="J7" s="36">
        <f>SUMIFS(Dividendos!G:G,Dividendos!B:B,TabelaGeral[[#This Row],[ID ]])</f>
        <v>103.11</v>
      </c>
      <c r="K7" s="46">
        <f>(TabelaGeral[[#This Row],[Valor Total]]+TabelaGeral[[#This Row],[Dividendos]]-TabelaGeral[[#This Row],[Valor Aplicado]])/TabelaGeral[[#This Row],[Valor Aplicado]]</f>
        <v>0.12895278234606256</v>
      </c>
      <c r="L7" s="46">
        <f>(TabelaGeral[[#This Row],[Preço Atual]]-TabelaGeral[[#This Row],[Preço Médio]])/TabelaGeral[[#This Row],[Preço Médio]]</f>
        <v>-7.4131278959973457E-2</v>
      </c>
    </row>
    <row r="8" spans="1:12">
      <c r="A8" s="35">
        <v>2</v>
      </c>
      <c r="B8" s="35" t="e" vm="2">
        <v>#VALUE!</v>
      </c>
      <c r="C8" s="35" t="s">
        <v>1</v>
      </c>
      <c r="D8" s="35" t="s">
        <v>3</v>
      </c>
      <c r="E8" s="35">
        <f>SUMIFS(Aportes!H:H,Aportes!B:B,TabelaGeral[[#This Row],[ID ]])</f>
        <v>14</v>
      </c>
      <c r="F8" s="36">
        <f>AVERAGEIFS(Aportes!G:G,Aportes!B:B,TabelaGeral[[#This Row],[ID ]])</f>
        <v>99.666428571428582</v>
      </c>
      <c r="G8" s="36" cm="1">
        <f t="array" ref="G8">_FV(B8,"Preço")</f>
        <v>103.32</v>
      </c>
      <c r="H8" s="37">
        <f>SUMIFS(Aportes!I:I,Aportes!B:B,TabelaGeral[[#This Row],[ID ]])</f>
        <v>1395.3300000000002</v>
      </c>
      <c r="I8" s="38">
        <f t="shared" ref="I8:I16" si="0">SUM(H8,J8)</f>
        <v>1482.0600000000002</v>
      </c>
      <c r="J8" s="36">
        <f>SUMIFS(Dividendos!G:G,Dividendos!B:B,TabelaGeral[[#This Row],[ID ]])</f>
        <v>86.730000000000018</v>
      </c>
      <c r="K8" s="46">
        <f>(TabelaGeral[[#This Row],[Valor Total]]+TabelaGeral[[#This Row],[Dividendos]]-TabelaGeral[[#This Row],[Valor Aplicado]])/TabelaGeral[[#This Row],[Valor Aplicado]]</f>
        <v>0.12431467824815637</v>
      </c>
      <c r="L8" s="46">
        <f>(TabelaGeral[[#This Row],[Preço Atual]]-TabelaGeral[[#This Row],[Preço Médio]])/TabelaGeral[[#This Row],[Preço Médio]]</f>
        <v>3.6657994882930735E-2</v>
      </c>
    </row>
    <row r="9" spans="1:12">
      <c r="A9" s="35">
        <v>3</v>
      </c>
      <c r="B9" s="35" t="e" vm="3">
        <v>#VALUE!</v>
      </c>
      <c r="C9" s="35" t="s">
        <v>1</v>
      </c>
      <c r="D9" s="35" t="s">
        <v>4</v>
      </c>
      <c r="E9" s="35">
        <f>SUMIFS(Aportes!H:H,Aportes!B:B,TabelaGeral[[#This Row],[ID ]])</f>
        <v>14</v>
      </c>
      <c r="F9" s="36">
        <f>AVERAGEIFS(Aportes!G:G,Aportes!B:B,TabelaGeral[[#This Row],[ID ]])</f>
        <v>103.31428571428572</v>
      </c>
      <c r="G9" s="36" cm="1">
        <f t="array" ref="G9">_FV(B9,"Preço")</f>
        <v>110.7</v>
      </c>
      <c r="H9" s="37">
        <f>SUMIFS(Aportes!I:I,Aportes!B:B,TabelaGeral[[#This Row],[ID ]])</f>
        <v>1446.4</v>
      </c>
      <c r="I9" s="38">
        <f t="shared" si="0"/>
        <v>1548.52</v>
      </c>
      <c r="J9" s="36">
        <f>SUMIFS(Dividendos!G:G,Dividendos!B:B,TabelaGeral[[#This Row],[ID ]])</f>
        <v>102.11999999999998</v>
      </c>
      <c r="K9" s="46">
        <f>(TabelaGeral[[#This Row],[Valor Total]]+TabelaGeral[[#This Row],[Dividendos]]-TabelaGeral[[#This Row],[Valor Aplicado]])/TabelaGeral[[#This Row],[Valor Aplicado]]</f>
        <v>0.14120575221238921</v>
      </c>
      <c r="L9" s="46">
        <f>(TabelaGeral[[#This Row],[Preço Atual]]-TabelaGeral[[#This Row],[Preço Médio]])/TabelaGeral[[#This Row],[Preço Médio]]</f>
        <v>7.1487831858407083E-2</v>
      </c>
    </row>
    <row r="10" spans="1:12">
      <c r="A10" s="35">
        <v>4</v>
      </c>
      <c r="B10" s="35" t="e" vm="4">
        <v>#VALUE!</v>
      </c>
      <c r="C10" s="35" t="s">
        <v>1</v>
      </c>
      <c r="D10" s="35" t="s">
        <v>5</v>
      </c>
      <c r="E10" s="35">
        <f>SUMIFS(Aportes!H:H,Aportes!B:B,TabelaGeral[[#This Row],[ID ]])</f>
        <v>57</v>
      </c>
      <c r="F10" s="36">
        <f>AVERAGEIFS(Aportes!G:G,Aportes!B:B,TabelaGeral[[#This Row],[ID ]])</f>
        <v>8.7438461538461532</v>
      </c>
      <c r="G10" s="36" cm="1">
        <f t="array" ref="G10">_FV(B10,"Preço")</f>
        <v>8.9700000000000006</v>
      </c>
      <c r="H10" s="37">
        <f>SUMIFS(Aportes!I:I,Aportes!B:B,TabelaGeral[[#This Row],[ID ]])</f>
        <v>493.27</v>
      </c>
      <c r="I10" s="38">
        <f t="shared" si="0"/>
        <v>513.78</v>
      </c>
      <c r="J10" s="36">
        <f>SUMIFS(Dividendos!G:G,Dividendos!B:B,TabelaGeral[[#This Row],[ID ]])</f>
        <v>20.51</v>
      </c>
      <c r="K10" s="46">
        <f>(TabelaGeral[[#This Row],[Valor Total]]+TabelaGeral[[#This Row],[Dividendos]]-TabelaGeral[[#This Row],[Valor Aplicado]])/TabelaGeral[[#This Row],[Valor Aplicado]]</f>
        <v>8.3159324507875984E-2</v>
      </c>
      <c r="L10" s="46">
        <f>(TabelaGeral[[#This Row],[Preço Atual]]-TabelaGeral[[#This Row],[Preço Médio]])/TabelaGeral[[#This Row],[Preço Médio]]</f>
        <v>2.5864344154130532E-2</v>
      </c>
    </row>
    <row r="11" spans="1:12">
      <c r="A11" s="35">
        <v>5</v>
      </c>
      <c r="B11" s="35" t="e" vm="5">
        <v>#VALUE!</v>
      </c>
      <c r="C11" s="35" t="s">
        <v>6</v>
      </c>
      <c r="D11" s="35" t="s">
        <v>7</v>
      </c>
      <c r="E11" s="35">
        <f>SUMIFS(Aportes!H:H,Aportes!B:B,TabelaGeral[[#This Row],[ID ]])</f>
        <v>10</v>
      </c>
      <c r="F11" s="36">
        <f>AVERAGEIFS(Aportes!G:G,Aportes!B:B,TabelaGeral[[#This Row],[ID ]])</f>
        <v>19.259999999999998</v>
      </c>
      <c r="G11" s="36" cm="1">
        <f t="array" ref="G11">_FV(B11,"Preço")</f>
        <v>25.77</v>
      </c>
      <c r="H11" s="37">
        <f>SUMIFS(Aportes!I:I,Aportes!B:B,TabelaGeral[[#This Row],[ID ]])</f>
        <v>192.6</v>
      </c>
      <c r="I11" s="38">
        <f t="shared" si="0"/>
        <v>193.6</v>
      </c>
      <c r="J11" s="36">
        <f>SUMIFS(Dividendos!G:G,Dividendos!B:B,TabelaGeral[[#This Row],[ID ]])</f>
        <v>1</v>
      </c>
      <c r="K11" s="46">
        <f>(TabelaGeral[[#This Row],[Valor Total]]+TabelaGeral[[#This Row],[Dividendos]]-TabelaGeral[[#This Row],[Valor Aplicado]])/TabelaGeral[[#This Row],[Valor Aplicado]]</f>
        <v>1.0384215991692628E-2</v>
      </c>
      <c r="L11" s="46">
        <f>(TabelaGeral[[#This Row],[Preço Atual]]-TabelaGeral[[#This Row],[Preço Médio]])/TabelaGeral[[#This Row],[Preço Médio]]</f>
        <v>0.33800623052959511</v>
      </c>
    </row>
    <row r="12" spans="1:12">
      <c r="A12" s="35">
        <v>6</v>
      </c>
      <c r="B12" s="35" t="e" vm="6">
        <v>#VALUE!</v>
      </c>
      <c r="C12" s="35" t="s">
        <v>1</v>
      </c>
      <c r="D12" s="35" t="s">
        <v>2</v>
      </c>
      <c r="E12" s="35">
        <f>SUMIFS(Aportes!H:H,Aportes!B:B,TabelaGeral[[#This Row],[ID ]])</f>
        <v>55</v>
      </c>
      <c r="F12" s="36">
        <f>AVERAGEIFS(Aportes!G:G,Aportes!B:B,TabelaGeral[[#This Row],[ID ]])</f>
        <v>9.5580000000000016</v>
      </c>
      <c r="G12" s="36" cm="1">
        <f t="array" ref="G12">_FV(B12,"Preço")</f>
        <v>9.85</v>
      </c>
      <c r="H12" s="37">
        <f>SUMIFS(Aportes!I:I,Aportes!B:B,TabelaGeral[[#This Row],[ID ]])</f>
        <v>523.32000000000005</v>
      </c>
      <c r="I12" s="38">
        <f t="shared" si="0"/>
        <v>538.98</v>
      </c>
      <c r="J12" s="36">
        <f>SUMIFS(Dividendos!G:G,Dividendos!B:B,TabelaGeral[[#This Row],[ID ]])</f>
        <v>15.66</v>
      </c>
      <c r="K12" s="46">
        <f>(TabelaGeral[[#This Row],[Valor Total]]+TabelaGeral[[#This Row],[Dividendos]]-TabelaGeral[[#This Row],[Valor Aplicado]])/TabelaGeral[[#This Row],[Valor Aplicado]]</f>
        <v>5.9848658564549288E-2</v>
      </c>
      <c r="L12" s="46">
        <f>(TabelaGeral[[#This Row],[Preço Atual]]-TabelaGeral[[#This Row],[Preço Médio]])/TabelaGeral[[#This Row],[Preço Médio]]</f>
        <v>3.055032433563486E-2</v>
      </c>
    </row>
    <row r="13" spans="1:12">
      <c r="A13" s="35">
        <v>7</v>
      </c>
      <c r="B13" s="35" t="e" vm="7">
        <v>#VALUE!</v>
      </c>
      <c r="C13" s="35" t="s">
        <v>1</v>
      </c>
      <c r="D13" s="35" t="s">
        <v>8</v>
      </c>
      <c r="E13" s="35">
        <f>SUMIFS(Aportes!H:H,Aportes!B:B,TabelaGeral[[#This Row],[ID ]])</f>
        <v>32</v>
      </c>
      <c r="F13" s="36">
        <f>AVERAGEIFS(Aportes!G:G,Aportes!B:B,TabelaGeral[[#This Row],[ID ]])</f>
        <v>9.4099999999999984</v>
      </c>
      <c r="G13" s="36" cm="1">
        <f t="array" ref="G13">_FV(B13,"Preço")</f>
        <v>9.3000000000000007</v>
      </c>
      <c r="H13" s="37">
        <f>SUMIFS(Aportes!I:I,Aportes!B:B,TabelaGeral[[#This Row],[ID ]])</f>
        <v>301.38</v>
      </c>
      <c r="I13" s="38">
        <f t="shared" si="0"/>
        <v>305.32</v>
      </c>
      <c r="J13" s="36">
        <f>SUMIFS(Dividendos!G:G,Dividendos!B:B,TabelaGeral[[#This Row],[ID ]])</f>
        <v>3.9400000000000004</v>
      </c>
      <c r="K13" s="46">
        <f>(TabelaGeral[[#This Row],[Valor Total]]+TabelaGeral[[#This Row],[Dividendos]]-TabelaGeral[[#This Row],[Valor Aplicado]])/TabelaGeral[[#This Row],[Valor Aplicado]]</f>
        <v>2.6146393257681318E-2</v>
      </c>
      <c r="L13" s="46">
        <f>(TabelaGeral[[#This Row],[Preço Atual]]-TabelaGeral[[#This Row],[Preço Médio]])/TabelaGeral[[#This Row],[Preço Médio]]</f>
        <v>-1.1689691817215481E-2</v>
      </c>
    </row>
    <row r="14" spans="1:12">
      <c r="A14" s="35">
        <v>8</v>
      </c>
      <c r="B14" s="35" t="e" vm="8">
        <v>#VALUE!</v>
      </c>
      <c r="C14" s="35" t="s">
        <v>1</v>
      </c>
      <c r="D14" s="35" t="s">
        <v>3</v>
      </c>
      <c r="E14" s="35">
        <f>SUMIFS(Aportes!H:H,Aportes!B:B,TabelaGeral[[#This Row],[ID ]])</f>
        <v>2</v>
      </c>
      <c r="F14" s="36">
        <f>AVERAGEIFS(Aportes!G:G,Aportes!B:B,TabelaGeral[[#This Row],[ID ]])</f>
        <v>157.76</v>
      </c>
      <c r="G14" s="36" cm="1">
        <f t="array" ref="G14">_FV(B14,"Preço")</f>
        <v>158.15</v>
      </c>
      <c r="H14" s="37">
        <f>SUMIFS(Aportes!I:I,Aportes!B:B,TabelaGeral[[#This Row],[ID ]])</f>
        <v>315.52</v>
      </c>
      <c r="I14" s="38">
        <f t="shared" si="0"/>
        <v>315.52</v>
      </c>
      <c r="J14" s="36">
        <f>SUMIFS(Dividendos!G:G,Dividendos!B:B,TabelaGeral[[#This Row],[ID ]])</f>
        <v>0</v>
      </c>
      <c r="K14" s="46">
        <f>(TabelaGeral[[#This Row],[Valor Total]]+TabelaGeral[[#This Row],[Dividendos]]-TabelaGeral[[#This Row],[Valor Aplicado]])/TabelaGeral[[#This Row],[Valor Aplicado]]</f>
        <v>0</v>
      </c>
      <c r="L14" s="46">
        <f>(TabelaGeral[[#This Row],[Preço Atual]]-TabelaGeral[[#This Row],[Preço Médio]])/TabelaGeral[[#This Row],[Preço Médio]]</f>
        <v>2.4721095334686535E-3</v>
      </c>
    </row>
    <row r="15" spans="1:12">
      <c r="A15" s="35">
        <v>9</v>
      </c>
      <c r="B15" s="35" t="e" vm="9">
        <v>#VALUE!</v>
      </c>
      <c r="C15" s="35" t="s">
        <v>1</v>
      </c>
      <c r="D15" s="35" t="s">
        <v>3</v>
      </c>
      <c r="E15" s="35">
        <f>SUMIFS(Aportes!H:H,Aportes!B:B,TabelaGeral[[#This Row],[ID ]])</f>
        <v>1</v>
      </c>
      <c r="F15" s="36">
        <f>AVERAGEIFS(Aportes!G:G,Aportes!B:B,TabelaGeral[[#This Row],[ID ]])</f>
        <v>102.94</v>
      </c>
      <c r="G15" s="36" cm="1">
        <f t="array" ref="G15">_FV(B15,"Preço")</f>
        <v>101.53</v>
      </c>
      <c r="H15" s="37">
        <f>SUMIFS(Aportes!I:I,Aportes!B:B,TabelaGeral[[#This Row],[ID ]])</f>
        <v>102.94</v>
      </c>
      <c r="I15" s="38">
        <f t="shared" si="0"/>
        <v>102.94</v>
      </c>
      <c r="J15" s="36">
        <f>SUMIFS(Dividendos!G:G,Dividendos!B:B,TabelaGeral[[#This Row],[ID ]])</f>
        <v>0</v>
      </c>
      <c r="K15" s="46">
        <f>(TabelaGeral[[#This Row],[Valor Total]]+TabelaGeral[[#This Row],[Dividendos]]-TabelaGeral[[#This Row],[Valor Aplicado]])/TabelaGeral[[#This Row],[Valor Aplicado]]</f>
        <v>0</v>
      </c>
      <c r="L15" s="46">
        <f>(TabelaGeral[[#This Row],[Preço Atual]]-TabelaGeral[[#This Row],[Preço Médio]])/TabelaGeral[[#This Row],[Preço Médio]]</f>
        <v>-1.369729939770737E-2</v>
      </c>
    </row>
    <row r="16" spans="1:12">
      <c r="A16" s="35">
        <v>10</v>
      </c>
      <c r="B16" s="35" t="e" vm="10">
        <v>#VALUE!</v>
      </c>
      <c r="C16" s="35" t="s">
        <v>6</v>
      </c>
      <c r="D16" s="35" t="s">
        <v>9</v>
      </c>
      <c r="E16" s="35">
        <f>SUMIFS(Aportes!H:H,Aportes!B:B,TabelaGeral[[#This Row],[ID ]])</f>
        <v>12</v>
      </c>
      <c r="F16" s="36">
        <f>AVERAGEIFS(Aportes!G:G,Aportes!B:B,TabelaGeral[[#This Row],[ID ]])</f>
        <v>14.12</v>
      </c>
      <c r="G16" s="36" cm="1">
        <f t="array" ref="G16">_FV(B16,"Preço")</f>
        <v>13.6</v>
      </c>
      <c r="H16" s="37">
        <f>SUMIFS(Aportes!I:I,Aportes!B:B,TabelaGeral[[#This Row],[ID ]])</f>
        <v>169.44</v>
      </c>
      <c r="I16" s="38">
        <f t="shared" si="0"/>
        <v>169.44</v>
      </c>
      <c r="J16" s="36">
        <f>SUMIFS(Dividendos!G:G,Dividendos!B:B,TabelaGeral[[#This Row],[ID ]])</f>
        <v>0</v>
      </c>
      <c r="K16" s="46">
        <f>(TabelaGeral[[#This Row],[Valor Total]]+TabelaGeral[[#This Row],[Dividendos]]-TabelaGeral[[#This Row],[Valor Aplicado]])/TabelaGeral[[#This Row],[Valor Aplicado]]</f>
        <v>0</v>
      </c>
      <c r="L16" s="46">
        <f>(TabelaGeral[[#This Row],[Preço Atual]]-TabelaGeral[[#This Row],[Preço Médio]])/TabelaGeral[[#This Row],[Preço Médio]]</f>
        <v>-3.6827195467422066E-2</v>
      </c>
    </row>
    <row r="17" spans="1:12">
      <c r="A17" s="35">
        <v>11</v>
      </c>
      <c r="B17" s="35" t="e" vm="11">
        <v>#VALUE!</v>
      </c>
      <c r="C17" s="35" t="s">
        <v>51</v>
      </c>
      <c r="D17" s="35" t="s">
        <v>52</v>
      </c>
      <c r="E17" s="35">
        <v>1</v>
      </c>
      <c r="F17" s="36">
        <f>AVERAGEIFS(Aportes!G:G,Aportes!B:B,TabelaGeral[[#This Row],[ID ]])</f>
        <v>31.87</v>
      </c>
      <c r="G17" s="36" cm="1">
        <f t="array" ref="G17">_FV(B17,"Preço")</f>
        <v>32.26</v>
      </c>
      <c r="H17" s="37">
        <f>SUMIFS(Aportes!I:I,Aportes!B:B,TabelaGeral[[#This Row],[ID ]])</f>
        <v>159.35</v>
      </c>
      <c r="I17" s="38">
        <f>SUM(H17,J17)</f>
        <v>159.35</v>
      </c>
      <c r="J17" s="36">
        <f>SUMIFS(Dividendos!G:G,Dividendos!B:B,TabelaGeral[[#This Row],[ID ]])</f>
        <v>0</v>
      </c>
      <c r="K17" s="46">
        <f>(TabelaGeral[[#This Row],[Valor Total]] + TabelaGeral[[#This Row],[Dividendos]] - TabelaGeral[[#This Row],[Valor Aplicado]]) / TabelaGeral[[#This Row],[Valor Aplicado]]</f>
        <v>0</v>
      </c>
      <c r="L17" s="46">
        <f>(TabelaGeral[[#This Row],[Preço Atual]]-TabelaGeral[[#This Row],[Preço Médio]])/TabelaGeral[[#This Row],[Preço Médio]]</f>
        <v>1.2237213680577251E-2</v>
      </c>
    </row>
  </sheetData>
  <sortState xmlns:xlrd2="http://schemas.microsoft.com/office/spreadsheetml/2017/richdata2" ref="A7:K16">
    <sortCondition ref="A7:A16"/>
  </sortState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B6E2-E609-4DB0-B3B4-8215CD97838D}">
  <dimension ref="B2:E13"/>
  <sheetViews>
    <sheetView zoomScale="175" zoomScaleNormal="175" workbookViewId="0">
      <selection activeCell="D15" sqref="D15"/>
    </sheetView>
  </sheetViews>
  <sheetFormatPr defaultRowHeight="15"/>
  <cols>
    <col min="1" max="1" width="9.140625" style="33"/>
    <col min="2" max="2" width="7.85546875" style="33" bestFit="1" customWidth="1"/>
    <col min="3" max="3" width="10.28515625" style="33" bestFit="1" customWidth="1"/>
    <col min="4" max="4" width="15" style="52" bestFit="1" customWidth="1"/>
    <col min="5" max="5" width="19.85546875" style="33" bestFit="1" customWidth="1"/>
    <col min="6" max="16384" width="9.140625" style="33"/>
  </cols>
  <sheetData>
    <row r="2" spans="2:5">
      <c r="B2" s="39" t="s">
        <v>0</v>
      </c>
      <c r="C2" s="39" t="s">
        <v>10</v>
      </c>
      <c r="D2" s="39" t="s">
        <v>47</v>
      </c>
      <c r="E2" s="39" t="s">
        <v>48</v>
      </c>
    </row>
    <row r="3" spans="2:5">
      <c r="B3" s="39">
        <v>1</v>
      </c>
      <c r="C3" s="39" t="s">
        <v>28</v>
      </c>
      <c r="D3" s="39" t="s">
        <v>57</v>
      </c>
      <c r="E3" s="39" t="s">
        <v>2</v>
      </c>
    </row>
    <row r="4" spans="2:5">
      <c r="B4" s="39">
        <v>2</v>
      </c>
      <c r="C4" s="39" t="s">
        <v>29</v>
      </c>
      <c r="D4" s="39" t="s">
        <v>57</v>
      </c>
      <c r="E4" s="39" t="s">
        <v>3</v>
      </c>
    </row>
    <row r="5" spans="2:5">
      <c r="B5" s="39">
        <v>3</v>
      </c>
      <c r="C5" s="39" t="s">
        <v>30</v>
      </c>
      <c r="D5" s="39" t="s">
        <v>57</v>
      </c>
      <c r="E5" s="39" t="s">
        <v>4</v>
      </c>
    </row>
    <row r="6" spans="2:5">
      <c r="B6" s="39">
        <v>4</v>
      </c>
      <c r="C6" s="39" t="s">
        <v>31</v>
      </c>
      <c r="D6" s="39" t="s">
        <v>57</v>
      </c>
      <c r="E6" s="39" t="s">
        <v>5</v>
      </c>
    </row>
    <row r="7" spans="2:5">
      <c r="B7" s="39">
        <v>5</v>
      </c>
      <c r="C7" s="39" t="s">
        <v>49</v>
      </c>
      <c r="D7" s="39" t="s">
        <v>51</v>
      </c>
      <c r="E7" s="39" t="s">
        <v>7</v>
      </c>
    </row>
    <row r="8" spans="2:5">
      <c r="B8" s="39">
        <v>6</v>
      </c>
      <c r="C8" s="39" t="s">
        <v>33</v>
      </c>
      <c r="D8" s="39" t="s">
        <v>57</v>
      </c>
      <c r="E8" s="39" t="s">
        <v>2</v>
      </c>
    </row>
    <row r="9" spans="2:5">
      <c r="B9" s="39">
        <v>7</v>
      </c>
      <c r="C9" s="39" t="s">
        <v>36</v>
      </c>
      <c r="D9" s="39" t="s">
        <v>57</v>
      </c>
      <c r="E9" s="39" t="s">
        <v>8</v>
      </c>
    </row>
    <row r="10" spans="2:5">
      <c r="B10" s="39">
        <v>8</v>
      </c>
      <c r="C10" s="39" t="s">
        <v>39</v>
      </c>
      <c r="D10" s="39" t="s">
        <v>57</v>
      </c>
      <c r="E10" s="39" t="s">
        <v>3</v>
      </c>
    </row>
    <row r="11" spans="2:5">
      <c r="B11" s="39">
        <v>9</v>
      </c>
      <c r="C11" s="39" t="s">
        <v>40</v>
      </c>
      <c r="D11" s="39" t="s">
        <v>57</v>
      </c>
      <c r="E11" s="39" t="s">
        <v>3</v>
      </c>
    </row>
    <row r="12" spans="2:5">
      <c r="B12" s="39">
        <v>10</v>
      </c>
      <c r="C12" s="39" t="s">
        <v>38</v>
      </c>
      <c r="D12" s="39" t="s">
        <v>51</v>
      </c>
      <c r="E12" s="39" t="s">
        <v>9</v>
      </c>
    </row>
    <row r="13" spans="2:5">
      <c r="B13" s="39">
        <v>11</v>
      </c>
      <c r="C13" s="39" t="s">
        <v>50</v>
      </c>
      <c r="D13" s="39" t="s">
        <v>51</v>
      </c>
      <c r="E13" s="39" t="s">
        <v>52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AA8A-E0FD-4DEF-A01A-96B2C64FD565}">
  <dimension ref="B2:J308"/>
  <sheetViews>
    <sheetView showGridLines="0" tabSelected="1" topLeftCell="A62" zoomScale="130" zoomScaleNormal="130" workbookViewId="0">
      <selection activeCell="C75" sqref="C75"/>
    </sheetView>
  </sheetViews>
  <sheetFormatPr defaultRowHeight="15"/>
  <cols>
    <col min="1" max="1" width="9.140625" style="25"/>
    <col min="2" max="2" width="7.42578125" style="26" bestFit="1" customWidth="1"/>
    <col min="3" max="3" width="11.5703125" style="26" bestFit="1" customWidth="1"/>
    <col min="4" max="4" width="10.28515625" style="26" bestFit="1" customWidth="1"/>
    <col min="5" max="5" width="9.42578125" style="26" bestFit="1" customWidth="1"/>
    <col min="6" max="7" width="18.140625" style="26" bestFit="1" customWidth="1"/>
    <col min="8" max="8" width="10.42578125" style="26" bestFit="1" customWidth="1"/>
    <col min="9" max="9" width="15.140625" style="26" bestFit="1" customWidth="1"/>
    <col min="10" max="16384" width="9.140625" style="25"/>
  </cols>
  <sheetData>
    <row r="2" spans="2:10">
      <c r="B2" s="20" t="s">
        <v>14</v>
      </c>
      <c r="C2" s="20" t="s">
        <v>15</v>
      </c>
      <c r="D2" s="20" t="s">
        <v>10</v>
      </c>
      <c r="E2" s="20" t="s">
        <v>24</v>
      </c>
      <c r="F2" s="20" t="s">
        <v>22</v>
      </c>
      <c r="G2" s="20" t="s">
        <v>23</v>
      </c>
      <c r="H2" s="20" t="s">
        <v>16</v>
      </c>
      <c r="I2" s="20" t="s">
        <v>18</v>
      </c>
    </row>
    <row r="3" spans="2:10">
      <c r="B3" s="21">
        <v>1</v>
      </c>
      <c r="C3" s="22">
        <v>45665</v>
      </c>
      <c r="D3" s="21" t="str">
        <f>_xlfn.XLOOKUP(TabelaAporte[[#This Row],[ID]],Tabela1[[ID ]],Tabela1[Ativo])</f>
        <v>TRXF11</v>
      </c>
      <c r="E3" s="21" t="str">
        <f>_xlfn.XLOOKUP(TabelaAporte[[#This Row],[ID]],Tabela1[[ID ]],Tabela1[[ TipoAtivo ]])</f>
        <v>FII</v>
      </c>
      <c r="F3" s="21" t="str">
        <f>_xlfn.XLOOKUP(TabelaAporte[[#This Row],[ID]],TabelaGeral[[ID ]],TabelaGeral[[ Setor Segmento]],)</f>
        <v xml:space="preserve"> Renda Urbana</v>
      </c>
      <c r="G3" s="29">
        <v>99.61</v>
      </c>
      <c r="H3" s="21">
        <v>1</v>
      </c>
      <c r="I3" s="29">
        <f t="shared" ref="I3:I66" si="0">H3*G3</f>
        <v>99.61</v>
      </c>
      <c r="J3" s="27"/>
    </row>
    <row r="4" spans="2:10">
      <c r="B4" s="21">
        <v>2</v>
      </c>
      <c r="C4" s="22">
        <v>45665</v>
      </c>
      <c r="D4" s="21" t="str">
        <f>_xlfn.XLOOKUP(TabelaAporte[[#This Row],[ID]],Tabela1[[ID ]],Tabela1[Ativo])</f>
        <v>BTLG11</v>
      </c>
      <c r="E4" s="21" t="str">
        <f>_xlfn.XLOOKUP(TabelaAporte[[#This Row],[ID]],Tabela1[[ID ]],Tabela1[[ TipoAtivo ]])</f>
        <v>FII</v>
      </c>
      <c r="F4" s="21" t="str">
        <f>_xlfn.XLOOKUP(TabelaAporte[[#This Row],[ID]],TabelaGeral[[ID ]],TabelaGeral[[ Setor Segmento]],)</f>
        <v xml:space="preserve"> Logística</v>
      </c>
      <c r="G4" s="29">
        <v>95.83</v>
      </c>
      <c r="H4" s="21">
        <v>1</v>
      </c>
      <c r="I4" s="29">
        <f t="shared" si="0"/>
        <v>95.83</v>
      </c>
      <c r="J4" s="28"/>
    </row>
    <row r="5" spans="2:10">
      <c r="B5" s="21">
        <v>3</v>
      </c>
      <c r="C5" s="22">
        <v>45665</v>
      </c>
      <c r="D5" s="21" t="str">
        <f>_xlfn.XLOOKUP(TabelaAporte[[#This Row],[ID]],Tabela1[[ID ]],Tabela1[Ativo])</f>
        <v>XPML11</v>
      </c>
      <c r="E5" s="21" t="str">
        <f>_xlfn.XLOOKUP(TabelaAporte[[#This Row],[ID]],Tabela1[[ID ]],Tabela1[[ TipoAtivo ]])</f>
        <v>FII</v>
      </c>
      <c r="F5" s="21" t="str">
        <f>_xlfn.XLOOKUP(TabelaAporte[[#This Row],[ID]],TabelaGeral[[ID ]],TabelaGeral[[ Setor Segmento]],)</f>
        <v xml:space="preserve"> Shopping</v>
      </c>
      <c r="G5" s="29">
        <v>97.91</v>
      </c>
      <c r="H5" s="21">
        <v>1</v>
      </c>
      <c r="I5" s="29">
        <f t="shared" si="0"/>
        <v>97.91</v>
      </c>
      <c r="J5" s="28"/>
    </row>
    <row r="6" spans="2:10">
      <c r="B6" s="21">
        <v>1</v>
      </c>
      <c r="C6" s="22">
        <v>45694</v>
      </c>
      <c r="D6" s="21" t="str">
        <f>_xlfn.XLOOKUP(TabelaAporte[[#This Row],[ID]],Tabela1[[ID ]],Tabela1[Ativo])</f>
        <v>TRXF11</v>
      </c>
      <c r="E6" s="21" t="str">
        <f>_xlfn.XLOOKUP(TabelaAporte[[#This Row],[ID]],Tabela1[[ID ]],Tabela1[[ TipoAtivo ]])</f>
        <v>FII</v>
      </c>
      <c r="F6" s="21" t="str">
        <f>_xlfn.XLOOKUP(TabelaAporte[[#This Row],[ID]],TabelaGeral[[ID ]],TabelaGeral[[ Setor Segmento]],)</f>
        <v xml:space="preserve"> Renda Urbana</v>
      </c>
      <c r="G6" s="29">
        <v>98.96</v>
      </c>
      <c r="H6" s="21">
        <v>1</v>
      </c>
      <c r="I6" s="29">
        <f t="shared" si="0"/>
        <v>98.96</v>
      </c>
      <c r="J6" s="28"/>
    </row>
    <row r="7" spans="2:10">
      <c r="B7" s="21">
        <v>2</v>
      </c>
      <c r="C7" s="22">
        <v>45694</v>
      </c>
      <c r="D7" s="21" t="str">
        <f>_xlfn.XLOOKUP(TabelaAporte[[#This Row],[ID]],Tabela1[[ID ]],Tabela1[Ativo])</f>
        <v>BTLG11</v>
      </c>
      <c r="E7" s="21" t="str">
        <f>_xlfn.XLOOKUP(TabelaAporte[[#This Row],[ID]],Tabela1[[ID ]],Tabela1[[ TipoAtivo ]])</f>
        <v>FII</v>
      </c>
      <c r="F7" s="21" t="str">
        <f>_xlfn.XLOOKUP(TabelaAporte[[#This Row],[ID]],TabelaGeral[[ID ]],TabelaGeral[[ Setor Segmento]],)</f>
        <v xml:space="preserve"> Logística</v>
      </c>
      <c r="G7" s="29">
        <v>93.74</v>
      </c>
      <c r="H7" s="21">
        <v>1</v>
      </c>
      <c r="I7" s="29">
        <f t="shared" si="0"/>
        <v>93.74</v>
      </c>
    </row>
    <row r="8" spans="2:10">
      <c r="B8" s="21">
        <v>3</v>
      </c>
      <c r="C8" s="22">
        <v>45694</v>
      </c>
      <c r="D8" s="21" t="str">
        <f>_xlfn.XLOOKUP(TabelaAporte[[#This Row],[ID]],Tabela1[[ID ]],Tabela1[Ativo])</f>
        <v>XPML11</v>
      </c>
      <c r="E8" s="21" t="str">
        <f>_xlfn.XLOOKUP(TabelaAporte[[#This Row],[ID]],Tabela1[[ID ]],Tabela1[[ TipoAtivo ]])</f>
        <v>FII</v>
      </c>
      <c r="F8" s="21" t="str">
        <f>_xlfn.XLOOKUP(TabelaAporte[[#This Row],[ID]],TabelaGeral[[ID ]],TabelaGeral[[ Setor Segmento]],)</f>
        <v xml:space="preserve"> Shopping</v>
      </c>
      <c r="G8" s="29">
        <v>97.99</v>
      </c>
      <c r="H8" s="21">
        <v>1</v>
      </c>
      <c r="I8" s="29">
        <f t="shared" si="0"/>
        <v>97.99</v>
      </c>
    </row>
    <row r="9" spans="2:10">
      <c r="B9" s="21">
        <v>1</v>
      </c>
      <c r="C9" s="22">
        <v>45726</v>
      </c>
      <c r="D9" s="21" t="str">
        <f>_xlfn.XLOOKUP(TabelaAporte[[#This Row],[ID]],Tabela1[[ID ]],Tabela1[Ativo])</f>
        <v>TRXF11</v>
      </c>
      <c r="E9" s="21" t="str">
        <f>_xlfn.XLOOKUP(TabelaAporte[[#This Row],[ID]],Tabela1[[ID ]],Tabela1[[ TipoAtivo ]])</f>
        <v>FII</v>
      </c>
      <c r="F9" s="21" t="str">
        <f>_xlfn.XLOOKUP(TabelaAporte[[#This Row],[ID]],TabelaGeral[[ID ]],TabelaGeral[[ Setor Segmento]],)</f>
        <v xml:space="preserve"> Renda Urbana</v>
      </c>
      <c r="G9" s="29">
        <v>101.88</v>
      </c>
      <c r="H9" s="21">
        <v>1</v>
      </c>
      <c r="I9" s="29">
        <f t="shared" si="0"/>
        <v>101.88</v>
      </c>
    </row>
    <row r="10" spans="2:10">
      <c r="B10" s="21">
        <v>2</v>
      </c>
      <c r="C10" s="22">
        <v>45726</v>
      </c>
      <c r="D10" s="21" t="str">
        <f>_xlfn.XLOOKUP(TabelaAporte[[#This Row],[ID]],Tabela1[[ID ]],Tabela1[Ativo])</f>
        <v>BTLG11</v>
      </c>
      <c r="E10" s="21" t="str">
        <f>_xlfn.XLOOKUP(TabelaAporte[[#This Row],[ID]],Tabela1[[ID ]],Tabela1[[ TipoAtivo ]])</f>
        <v>FII</v>
      </c>
      <c r="F10" s="21" t="str">
        <f>_xlfn.XLOOKUP(TabelaAporte[[#This Row],[ID]],TabelaGeral[[ID ]],TabelaGeral[[ Setor Segmento]],)</f>
        <v xml:space="preserve"> Logística</v>
      </c>
      <c r="G10" s="29">
        <v>96.31</v>
      </c>
      <c r="H10" s="21">
        <v>1</v>
      </c>
      <c r="I10" s="29">
        <f t="shared" si="0"/>
        <v>96.31</v>
      </c>
    </row>
    <row r="11" spans="2:10">
      <c r="B11" s="21">
        <v>3</v>
      </c>
      <c r="C11" s="22">
        <v>45726</v>
      </c>
      <c r="D11" s="21" t="str">
        <f>_xlfn.XLOOKUP(TabelaAporte[[#This Row],[ID]],Tabela1[[ID ]],Tabela1[Ativo])</f>
        <v>XPML11</v>
      </c>
      <c r="E11" s="21" t="str">
        <f>_xlfn.XLOOKUP(TabelaAporte[[#This Row],[ID]],Tabela1[[ID ]],Tabela1[[ TipoAtivo ]])</f>
        <v>FII</v>
      </c>
      <c r="F11" s="21" t="str">
        <f>_xlfn.XLOOKUP(TabelaAporte[[#This Row],[ID]],TabelaGeral[[ID ]],TabelaGeral[[ Setor Segmento]],)</f>
        <v xml:space="preserve"> Shopping</v>
      </c>
      <c r="G11" s="29">
        <v>97.34</v>
      </c>
      <c r="H11" s="21">
        <v>1</v>
      </c>
      <c r="I11" s="29">
        <f t="shared" si="0"/>
        <v>97.34</v>
      </c>
    </row>
    <row r="12" spans="2:10">
      <c r="B12" s="21">
        <v>1</v>
      </c>
      <c r="C12" s="22">
        <v>45751</v>
      </c>
      <c r="D12" s="21" t="str">
        <f>_xlfn.XLOOKUP(TabelaAporte[[#This Row],[ID]],Tabela1[[ID ]],Tabela1[Ativo])</f>
        <v>TRXF11</v>
      </c>
      <c r="E12" s="21" t="str">
        <f>_xlfn.XLOOKUP(TabelaAporte[[#This Row],[ID]],Tabela1[[ID ]],Tabela1[[ TipoAtivo ]])</f>
        <v>FII</v>
      </c>
      <c r="F12" s="21" t="str">
        <f>_xlfn.XLOOKUP(TabelaAporte[[#This Row],[ID]],TabelaGeral[[ID ]],TabelaGeral[[ Setor Segmento]],)</f>
        <v xml:space="preserve"> Renda Urbana</v>
      </c>
      <c r="G12" s="29">
        <v>100.82</v>
      </c>
      <c r="H12" s="21">
        <v>1</v>
      </c>
      <c r="I12" s="29">
        <f t="shared" si="0"/>
        <v>100.82</v>
      </c>
    </row>
    <row r="13" spans="2:10">
      <c r="B13" s="21">
        <v>2</v>
      </c>
      <c r="C13" s="22">
        <v>45751</v>
      </c>
      <c r="D13" s="21" t="str">
        <f>_xlfn.XLOOKUP(TabelaAporte[[#This Row],[ID]],Tabela1[[ID ]],Tabela1[Ativo])</f>
        <v>BTLG11</v>
      </c>
      <c r="E13" s="21" t="str">
        <f>_xlfn.XLOOKUP(TabelaAporte[[#This Row],[ID]],Tabela1[[ID ]],Tabela1[[ TipoAtivo ]])</f>
        <v>FII</v>
      </c>
      <c r="F13" s="21" t="str">
        <f>_xlfn.XLOOKUP(TabelaAporte[[#This Row],[ID]],TabelaGeral[[ID ]],TabelaGeral[[ Setor Segmento]],)</f>
        <v xml:space="preserve"> Logística</v>
      </c>
      <c r="G13" s="29">
        <v>97.65</v>
      </c>
      <c r="H13" s="21">
        <v>1</v>
      </c>
      <c r="I13" s="29">
        <f t="shared" si="0"/>
        <v>97.65</v>
      </c>
    </row>
    <row r="14" spans="2:10">
      <c r="B14" s="21">
        <v>3</v>
      </c>
      <c r="C14" s="22">
        <v>45751</v>
      </c>
      <c r="D14" s="21" t="str">
        <f>_xlfn.XLOOKUP(TabelaAporte[[#This Row],[ID]],Tabela1[[ID ]],Tabela1[Ativo])</f>
        <v>XPML11</v>
      </c>
      <c r="E14" s="21" t="str">
        <f>_xlfn.XLOOKUP(TabelaAporte[[#This Row],[ID]],Tabela1[[ID ]],Tabela1[[ TipoAtivo ]])</f>
        <v>FII</v>
      </c>
      <c r="F14" s="21" t="str">
        <f>_xlfn.XLOOKUP(TabelaAporte[[#This Row],[ID]],TabelaGeral[[ID ]],TabelaGeral[[ Setor Segmento]],)</f>
        <v xml:space="preserve"> Shopping</v>
      </c>
      <c r="G14" s="29">
        <v>103.98</v>
      </c>
      <c r="H14" s="21">
        <v>1</v>
      </c>
      <c r="I14" s="29">
        <f t="shared" si="0"/>
        <v>103.98</v>
      </c>
    </row>
    <row r="15" spans="2:10">
      <c r="B15" s="21">
        <v>4</v>
      </c>
      <c r="C15" s="22">
        <v>45772</v>
      </c>
      <c r="D15" s="21" t="str">
        <f>_xlfn.XLOOKUP(TabelaAporte[[#This Row],[ID]],Tabela1[[ID ]],Tabela1[Ativo])</f>
        <v>KNSC11</v>
      </c>
      <c r="E15" s="21" t="str">
        <f>_xlfn.XLOOKUP(TabelaAporte[[#This Row],[ID]],Tabela1[[ID ]],Tabela1[[ TipoAtivo ]])</f>
        <v>FII</v>
      </c>
      <c r="F15" s="21" t="str">
        <f>_xlfn.XLOOKUP(TabelaAporte[[#This Row],[ID]],TabelaGeral[[ID ]],TabelaGeral[[ Setor Segmento]],)</f>
        <v xml:space="preserve"> Papel (CRI)</v>
      </c>
      <c r="G15" s="29">
        <v>8.68</v>
      </c>
      <c r="H15" s="21">
        <v>2</v>
      </c>
      <c r="I15" s="29">
        <f t="shared" si="0"/>
        <v>17.36</v>
      </c>
    </row>
    <row r="16" spans="2:10">
      <c r="B16" s="21">
        <v>1</v>
      </c>
      <c r="C16" s="22">
        <v>45784</v>
      </c>
      <c r="D16" s="21" t="str">
        <f>_xlfn.XLOOKUP(TabelaAporte[[#This Row],[ID]],Tabela1[[ID ]],Tabela1[Ativo])</f>
        <v>TRXF11</v>
      </c>
      <c r="E16" s="21" t="str">
        <f>_xlfn.XLOOKUP(TabelaAporte[[#This Row],[ID]],Tabela1[[ID ]],Tabela1[[ TipoAtivo ]])</f>
        <v>FII</v>
      </c>
      <c r="F16" s="21" t="str">
        <f>_xlfn.XLOOKUP(TabelaAporte[[#This Row],[ID]],TabelaGeral[[ID ]],TabelaGeral[[ Setor Segmento]],)</f>
        <v xml:space="preserve"> Renda Urbana</v>
      </c>
      <c r="G16" s="29">
        <v>102.3</v>
      </c>
      <c r="H16" s="21">
        <v>1</v>
      </c>
      <c r="I16" s="29">
        <f t="shared" si="0"/>
        <v>102.3</v>
      </c>
    </row>
    <row r="17" spans="2:9">
      <c r="B17" s="21">
        <v>2</v>
      </c>
      <c r="C17" s="22">
        <v>45784</v>
      </c>
      <c r="D17" s="21" t="str">
        <f>_xlfn.XLOOKUP(TabelaAporte[[#This Row],[ID]],Tabela1[[ID ]],Tabela1[Ativo])</f>
        <v>BTLG11</v>
      </c>
      <c r="E17" s="21" t="str">
        <f>_xlfn.XLOOKUP(TabelaAporte[[#This Row],[ID]],Tabela1[[ID ]],Tabela1[[ TipoAtivo ]])</f>
        <v>FII</v>
      </c>
      <c r="F17" s="21" t="str">
        <f>_xlfn.XLOOKUP(TabelaAporte[[#This Row],[ID]],TabelaGeral[[ID ]],TabelaGeral[[ Setor Segmento]],)</f>
        <v xml:space="preserve"> Logística</v>
      </c>
      <c r="G17" s="29">
        <v>100.83</v>
      </c>
      <c r="H17" s="21">
        <v>1</v>
      </c>
      <c r="I17" s="29">
        <f t="shared" si="0"/>
        <v>100.83</v>
      </c>
    </row>
    <row r="18" spans="2:9">
      <c r="B18" s="21">
        <v>3</v>
      </c>
      <c r="C18" s="22">
        <v>45784</v>
      </c>
      <c r="D18" s="21" t="str">
        <f>_xlfn.XLOOKUP(TabelaAporte[[#This Row],[ID]],Tabela1[[ID ]],Tabela1[Ativo])</f>
        <v>XPML11</v>
      </c>
      <c r="E18" s="21" t="str">
        <f>_xlfn.XLOOKUP(TabelaAporte[[#This Row],[ID]],Tabela1[[ID ]],Tabela1[[ TipoAtivo ]])</f>
        <v>FII</v>
      </c>
      <c r="F18" s="21" t="str">
        <f>_xlfn.XLOOKUP(TabelaAporte[[#This Row],[ID]],TabelaGeral[[ID ]],TabelaGeral[[ Setor Segmento]],)</f>
        <v xml:space="preserve"> Shopping</v>
      </c>
      <c r="G18" s="29">
        <v>104.72</v>
      </c>
      <c r="H18" s="21">
        <v>1</v>
      </c>
      <c r="I18" s="29">
        <f t="shared" si="0"/>
        <v>104.72</v>
      </c>
    </row>
    <row r="19" spans="2:9">
      <c r="B19" s="21">
        <v>1</v>
      </c>
      <c r="C19" s="22">
        <v>45814</v>
      </c>
      <c r="D19" s="21" t="str">
        <f>_xlfn.XLOOKUP(TabelaAporte[[#This Row],[ID]],Tabela1[[ID ]],Tabela1[Ativo])</f>
        <v>TRXF11</v>
      </c>
      <c r="E19" s="21" t="str">
        <f>_xlfn.XLOOKUP(TabelaAporte[[#This Row],[ID]],Tabela1[[ID ]],Tabela1[[ TipoAtivo ]])</f>
        <v>FII</v>
      </c>
      <c r="F19" s="21" t="str">
        <f>_xlfn.XLOOKUP(TabelaAporte[[#This Row],[ID]],TabelaGeral[[ID ]],TabelaGeral[[ Setor Segmento]],)</f>
        <v xml:space="preserve"> Renda Urbana</v>
      </c>
      <c r="G19" s="29">
        <v>101.74</v>
      </c>
      <c r="H19" s="21">
        <v>1</v>
      </c>
      <c r="I19" s="29">
        <f t="shared" si="0"/>
        <v>101.74</v>
      </c>
    </row>
    <row r="20" spans="2:9">
      <c r="B20" s="21">
        <v>2</v>
      </c>
      <c r="C20" s="22">
        <v>45814</v>
      </c>
      <c r="D20" s="21" t="str">
        <f>_xlfn.XLOOKUP(TabelaAporte[[#This Row],[ID]],Tabela1[[ID ]],Tabela1[Ativo])</f>
        <v>BTLG11</v>
      </c>
      <c r="E20" s="21" t="str">
        <f>_xlfn.XLOOKUP(TabelaAporte[[#This Row],[ID]],Tabela1[[ID ]],Tabela1[[ TipoAtivo ]])</f>
        <v>FII</v>
      </c>
      <c r="F20" s="21" t="str">
        <f>_xlfn.XLOOKUP(TabelaAporte[[#This Row],[ID]],TabelaGeral[[ID ]],TabelaGeral[[ Setor Segmento]],)</f>
        <v xml:space="preserve"> Logística</v>
      </c>
      <c r="G20" s="29">
        <v>101.88</v>
      </c>
      <c r="H20" s="21">
        <v>1</v>
      </c>
      <c r="I20" s="29">
        <f t="shared" si="0"/>
        <v>101.88</v>
      </c>
    </row>
    <row r="21" spans="2:9">
      <c r="B21" s="21">
        <v>3</v>
      </c>
      <c r="C21" s="22">
        <v>45814</v>
      </c>
      <c r="D21" s="21" t="str">
        <f>_xlfn.XLOOKUP(TabelaAporte[[#This Row],[ID]],Tabela1[[ID ]],Tabela1[Ativo])</f>
        <v>XPML11</v>
      </c>
      <c r="E21" s="21" t="str">
        <f>_xlfn.XLOOKUP(TabelaAporte[[#This Row],[ID]],Tabela1[[ID ]],Tabela1[[ TipoAtivo ]])</f>
        <v>FII</v>
      </c>
      <c r="F21" s="21" t="str">
        <f>_xlfn.XLOOKUP(TabelaAporte[[#This Row],[ID]],TabelaGeral[[ID ]],TabelaGeral[[ Setor Segmento]],)</f>
        <v xml:space="preserve"> Shopping</v>
      </c>
      <c r="G21" s="29">
        <v>103.59</v>
      </c>
      <c r="H21" s="21">
        <v>1</v>
      </c>
      <c r="I21" s="29">
        <f t="shared" si="0"/>
        <v>103.59</v>
      </c>
    </row>
    <row r="22" spans="2:9">
      <c r="B22" s="21">
        <v>4</v>
      </c>
      <c r="C22" s="22">
        <v>45814</v>
      </c>
      <c r="D22" s="21" t="str">
        <f>_xlfn.XLOOKUP(TabelaAporte[[#This Row],[ID]],Tabela1[[ID ]],Tabela1[Ativo])</f>
        <v>KNSC11</v>
      </c>
      <c r="E22" s="21" t="str">
        <f>_xlfn.XLOOKUP(TabelaAporte[[#This Row],[ID]],Tabela1[[ID ]],Tabela1[[ TipoAtivo ]])</f>
        <v>FII</v>
      </c>
      <c r="F22" s="21" t="str">
        <f>_xlfn.XLOOKUP(TabelaAporte[[#This Row],[ID]],TabelaGeral[[ID ]],TabelaGeral[[ Setor Segmento]],)</f>
        <v xml:space="preserve"> Papel (CRI)</v>
      </c>
      <c r="G22" s="29">
        <v>8.82</v>
      </c>
      <c r="H22" s="21">
        <v>2</v>
      </c>
      <c r="I22" s="29">
        <f t="shared" si="0"/>
        <v>17.64</v>
      </c>
    </row>
    <row r="23" spans="2:9">
      <c r="B23" s="21">
        <v>4</v>
      </c>
      <c r="C23" s="22">
        <v>45821</v>
      </c>
      <c r="D23" s="21" t="str">
        <f>_xlfn.XLOOKUP(TabelaAporte[[#This Row],[ID]],Tabela1[[ID ]],Tabela1[Ativo])</f>
        <v>KNSC11</v>
      </c>
      <c r="E23" s="21" t="str">
        <f>_xlfn.XLOOKUP(TabelaAporte[[#This Row],[ID]],Tabela1[[ID ]],Tabela1[[ TipoAtivo ]])</f>
        <v>FII</v>
      </c>
      <c r="F23" s="21" t="str">
        <f>_xlfn.XLOOKUP(TabelaAporte[[#This Row],[ID]],TabelaGeral[[ID ]],TabelaGeral[[ Setor Segmento]],)</f>
        <v xml:space="preserve"> Papel (CRI)</v>
      </c>
      <c r="G23" s="29">
        <v>8.8000000000000007</v>
      </c>
      <c r="H23" s="21">
        <v>3</v>
      </c>
      <c r="I23" s="29">
        <f t="shared" si="0"/>
        <v>26.400000000000002</v>
      </c>
    </row>
    <row r="24" spans="2:9">
      <c r="B24" s="21">
        <v>4</v>
      </c>
      <c r="C24" s="22">
        <v>45822</v>
      </c>
      <c r="D24" s="21" t="str">
        <f>_xlfn.XLOOKUP(TabelaAporte[[#This Row],[ID]],Tabela1[[ID ]],Tabela1[Ativo])</f>
        <v>KNSC11</v>
      </c>
      <c r="E24" s="21" t="str">
        <f>_xlfn.XLOOKUP(TabelaAporte[[#This Row],[ID]],Tabela1[[ID ]],Tabela1[[ TipoAtivo ]])</f>
        <v>FII</v>
      </c>
      <c r="F24" s="21" t="str">
        <f>_xlfn.XLOOKUP(TabelaAporte[[#This Row],[ID]],TabelaGeral[[ID ]],TabelaGeral[[ Setor Segmento]],)</f>
        <v xml:space="preserve"> Papel (CRI)</v>
      </c>
      <c r="G24" s="29">
        <v>8.89</v>
      </c>
      <c r="H24" s="21">
        <v>1</v>
      </c>
      <c r="I24" s="29">
        <f t="shared" si="0"/>
        <v>8.89</v>
      </c>
    </row>
    <row r="25" spans="2:9">
      <c r="B25" s="21">
        <v>4</v>
      </c>
      <c r="C25" s="22">
        <v>45831</v>
      </c>
      <c r="D25" s="21" t="str">
        <f>_xlfn.XLOOKUP(TabelaAporte[[#This Row],[ID]],Tabela1[[ID ]],Tabela1[Ativo])</f>
        <v>KNSC11</v>
      </c>
      <c r="E25" s="21" t="str">
        <f>_xlfn.XLOOKUP(TabelaAporte[[#This Row],[ID]],Tabela1[[ID ]],Tabela1[[ TipoAtivo ]])</f>
        <v>FII</v>
      </c>
      <c r="F25" s="21" t="str">
        <f>_xlfn.XLOOKUP(TabelaAporte[[#This Row],[ID]],TabelaGeral[[ID ]],TabelaGeral[[ Setor Segmento]],)</f>
        <v xml:space="preserve"> Papel (CRI)</v>
      </c>
      <c r="G25" s="29">
        <v>8.89</v>
      </c>
      <c r="H25" s="21">
        <v>2</v>
      </c>
      <c r="I25" s="29">
        <f t="shared" si="0"/>
        <v>17.78</v>
      </c>
    </row>
    <row r="26" spans="2:9">
      <c r="B26" s="21">
        <v>1</v>
      </c>
      <c r="C26" s="22">
        <v>45845</v>
      </c>
      <c r="D26" s="21" t="str">
        <f>_xlfn.XLOOKUP(TabelaAporte[[#This Row],[ID]],Tabela1[[ID ]],Tabela1[Ativo])</f>
        <v>TRXF11</v>
      </c>
      <c r="E26" s="21" t="str">
        <f>_xlfn.XLOOKUP(TabelaAporte[[#This Row],[ID]],Tabela1[[ID ]],Tabela1[[ TipoAtivo ]])</f>
        <v>FII</v>
      </c>
      <c r="F26" s="21" t="str">
        <f>_xlfn.XLOOKUP(TabelaAporte[[#This Row],[ID]],TabelaGeral[[ID ]],TabelaGeral[[ Setor Segmento]],)</f>
        <v xml:space="preserve"> Renda Urbana</v>
      </c>
      <c r="G26" s="29">
        <v>101.12</v>
      </c>
      <c r="H26" s="21">
        <v>1</v>
      </c>
      <c r="I26" s="29">
        <f t="shared" si="0"/>
        <v>101.12</v>
      </c>
    </row>
    <row r="27" spans="2:9">
      <c r="B27" s="21">
        <v>2</v>
      </c>
      <c r="C27" s="22">
        <v>45845</v>
      </c>
      <c r="D27" s="21" t="str">
        <f>_xlfn.XLOOKUP(TabelaAporte[[#This Row],[ID]],Tabela1[[ID ]],Tabela1[Ativo])</f>
        <v>BTLG11</v>
      </c>
      <c r="E27" s="21" t="str">
        <f>_xlfn.XLOOKUP(TabelaAporte[[#This Row],[ID]],Tabela1[[ID ]],Tabela1[[ TipoAtivo ]])</f>
        <v>FII</v>
      </c>
      <c r="F27" s="21" t="str">
        <f>_xlfn.XLOOKUP(TabelaAporte[[#This Row],[ID]],TabelaGeral[[ID ]],TabelaGeral[[ Setor Segmento]],)</f>
        <v xml:space="preserve"> Logística</v>
      </c>
      <c r="G27" s="29">
        <v>100.24</v>
      </c>
      <c r="H27" s="21">
        <v>1</v>
      </c>
      <c r="I27" s="29">
        <f t="shared" si="0"/>
        <v>100.24</v>
      </c>
    </row>
    <row r="28" spans="2:9">
      <c r="B28" s="21">
        <v>3</v>
      </c>
      <c r="C28" s="22">
        <v>45845</v>
      </c>
      <c r="D28" s="21" t="str">
        <f>_xlfn.XLOOKUP(TabelaAporte[[#This Row],[ID]],Tabela1[[ID ]],Tabela1[Ativo])</f>
        <v>XPML11</v>
      </c>
      <c r="E28" s="21" t="str">
        <f>_xlfn.XLOOKUP(TabelaAporte[[#This Row],[ID]],Tabela1[[ID ]],Tabela1[[ TipoAtivo ]])</f>
        <v>FII</v>
      </c>
      <c r="F28" s="21" t="str">
        <f>_xlfn.XLOOKUP(TabelaAporte[[#This Row],[ID]],TabelaGeral[[ID ]],TabelaGeral[[ Setor Segmento]],)</f>
        <v xml:space="preserve"> Shopping</v>
      </c>
      <c r="G28" s="29">
        <v>105.49</v>
      </c>
      <c r="H28" s="21">
        <v>1</v>
      </c>
      <c r="I28" s="29">
        <f t="shared" si="0"/>
        <v>105.49</v>
      </c>
    </row>
    <row r="29" spans="2:9">
      <c r="B29" s="21">
        <v>2</v>
      </c>
      <c r="C29" s="22">
        <v>45855</v>
      </c>
      <c r="D29" s="21" t="str">
        <f>_xlfn.XLOOKUP(TabelaAporte[[#This Row],[ID]],Tabela1[[ID ]],Tabela1[Ativo])</f>
        <v>BTLG11</v>
      </c>
      <c r="E29" s="21" t="str">
        <f>_xlfn.XLOOKUP(TabelaAporte[[#This Row],[ID]],Tabela1[[ID ]],Tabela1[[ TipoAtivo ]])</f>
        <v>FII</v>
      </c>
      <c r="F29" s="21" t="str">
        <f>_xlfn.XLOOKUP(TabelaAporte[[#This Row],[ID]],TabelaGeral[[ID ]],TabelaGeral[[ Setor Segmento]],)</f>
        <v xml:space="preserve"> Logística</v>
      </c>
      <c r="G29" s="29">
        <v>100.04</v>
      </c>
      <c r="H29" s="21">
        <v>1</v>
      </c>
      <c r="I29" s="29">
        <f t="shared" si="0"/>
        <v>100.04</v>
      </c>
    </row>
    <row r="30" spans="2:9">
      <c r="B30" s="21">
        <v>4</v>
      </c>
      <c r="C30" s="22">
        <v>45855</v>
      </c>
      <c r="D30" s="21" t="str">
        <f>_xlfn.XLOOKUP(TabelaAporte[[#This Row],[ID]],Tabela1[[ID ]],Tabela1[Ativo])</f>
        <v>KNSC11</v>
      </c>
      <c r="E30" s="21" t="str">
        <f>_xlfn.XLOOKUP(TabelaAporte[[#This Row],[ID]],Tabela1[[ID ]],Tabela1[[ TipoAtivo ]])</f>
        <v>FII</v>
      </c>
      <c r="F30" s="21" t="str">
        <f>_xlfn.XLOOKUP(TabelaAporte[[#This Row],[ID]],TabelaGeral[[ID ]],TabelaGeral[[ Setor Segmento]],)</f>
        <v xml:space="preserve"> Papel (CRI)</v>
      </c>
      <c r="G30" s="29">
        <v>8.85</v>
      </c>
      <c r="H30" s="21">
        <v>1</v>
      </c>
      <c r="I30" s="29">
        <f t="shared" si="0"/>
        <v>8.85</v>
      </c>
    </row>
    <row r="31" spans="2:9">
      <c r="B31" s="21">
        <v>4</v>
      </c>
      <c r="C31" s="22">
        <v>45859</v>
      </c>
      <c r="D31" s="21" t="str">
        <f>_xlfn.XLOOKUP(TabelaAporte[[#This Row],[ID]],Tabela1[[ID ]],Tabela1[Ativo])</f>
        <v>KNSC11</v>
      </c>
      <c r="E31" s="21" t="str">
        <f>_xlfn.XLOOKUP(TabelaAporte[[#This Row],[ID]],Tabela1[[ID ]],Tabela1[[ TipoAtivo ]])</f>
        <v>FII</v>
      </c>
      <c r="F31" s="21" t="str">
        <f>_xlfn.XLOOKUP(TabelaAporte[[#This Row],[ID]],TabelaGeral[[ID ]],TabelaGeral[[ Setor Segmento]],)</f>
        <v xml:space="preserve"> Papel (CRI)</v>
      </c>
      <c r="G31" s="29">
        <v>8.81</v>
      </c>
      <c r="H31" s="21">
        <v>1</v>
      </c>
      <c r="I31" s="29">
        <f t="shared" si="0"/>
        <v>8.81</v>
      </c>
    </row>
    <row r="32" spans="2:9">
      <c r="B32" s="21">
        <v>4</v>
      </c>
      <c r="C32" s="22">
        <v>45863</v>
      </c>
      <c r="D32" s="21" t="str">
        <f>_xlfn.XLOOKUP(TabelaAporte[[#This Row],[ID]],Tabela1[[ID ]],Tabela1[Ativo])</f>
        <v>KNSC11</v>
      </c>
      <c r="E32" s="21" t="str">
        <f>_xlfn.XLOOKUP(TabelaAporte[[#This Row],[ID]],Tabela1[[ID ]],Tabela1[[ TipoAtivo ]])</f>
        <v>FII</v>
      </c>
      <c r="F32" s="21" t="str">
        <f>_xlfn.XLOOKUP(TabelaAporte[[#This Row],[ID]],TabelaGeral[[ID ]],TabelaGeral[[ Setor Segmento]],)</f>
        <v xml:space="preserve"> Papel (CRI)</v>
      </c>
      <c r="G32" s="29">
        <v>8.81</v>
      </c>
      <c r="H32" s="21">
        <v>1</v>
      </c>
      <c r="I32" s="29">
        <f t="shared" si="0"/>
        <v>8.81</v>
      </c>
    </row>
    <row r="33" spans="2:9">
      <c r="B33" s="21">
        <v>1</v>
      </c>
      <c r="C33" s="22">
        <v>45870</v>
      </c>
      <c r="D33" s="21" t="str">
        <f>_xlfn.XLOOKUP(TabelaAporte[[#This Row],[ID]],Tabela1[[ID ]],Tabela1[Ativo])</f>
        <v>TRXF11</v>
      </c>
      <c r="E33" s="21" t="str">
        <f>_xlfn.XLOOKUP(TabelaAporte[[#This Row],[ID]],Tabela1[[ID ]],Tabela1[[ TipoAtivo ]])</f>
        <v>FII</v>
      </c>
      <c r="F33" s="21" t="str">
        <f>_xlfn.XLOOKUP(TabelaAporte[[#This Row],[ID]],TabelaGeral[[ID ]],TabelaGeral[[ Setor Segmento]],)</f>
        <v xml:space="preserve"> Renda Urbana</v>
      </c>
      <c r="G33" s="29">
        <v>98.84</v>
      </c>
      <c r="H33" s="21">
        <v>1</v>
      </c>
      <c r="I33" s="29">
        <f t="shared" si="0"/>
        <v>98.84</v>
      </c>
    </row>
    <row r="34" spans="2:9">
      <c r="B34" s="21">
        <v>1</v>
      </c>
      <c r="C34" s="22">
        <v>45870</v>
      </c>
      <c r="D34" s="21" t="str">
        <f>_xlfn.XLOOKUP(TabelaAporte[[#This Row],[ID]],Tabela1[[ID ]],Tabela1[Ativo])</f>
        <v>TRXF11</v>
      </c>
      <c r="E34" s="21" t="str">
        <f>_xlfn.XLOOKUP(TabelaAporte[[#This Row],[ID]],Tabela1[[ID ]],Tabela1[[ TipoAtivo ]])</f>
        <v>FII</v>
      </c>
      <c r="F34" s="21" t="str">
        <f>_xlfn.XLOOKUP(TabelaAporte[[#This Row],[ID]],TabelaGeral[[ID ]],TabelaGeral[[ Setor Segmento]],)</f>
        <v xml:space="preserve"> Renda Urbana</v>
      </c>
      <c r="G34" s="29">
        <v>98.84</v>
      </c>
      <c r="H34" s="21">
        <v>1</v>
      </c>
      <c r="I34" s="29">
        <f t="shared" si="0"/>
        <v>98.84</v>
      </c>
    </row>
    <row r="35" spans="2:9">
      <c r="B35" s="21">
        <v>1</v>
      </c>
      <c r="C35" s="22">
        <v>45870</v>
      </c>
      <c r="D35" s="21" t="str">
        <f>_xlfn.XLOOKUP(TabelaAporte[[#This Row],[ID]],Tabela1[[ID ]],Tabela1[Ativo])</f>
        <v>TRXF11</v>
      </c>
      <c r="E35" s="21" t="str">
        <f>_xlfn.XLOOKUP(TabelaAporte[[#This Row],[ID]],Tabela1[[ID ]],Tabela1[[ TipoAtivo ]])</f>
        <v>FII</v>
      </c>
      <c r="F35" s="21" t="str">
        <f>_xlfn.XLOOKUP(TabelaAporte[[#This Row],[ID]],TabelaGeral[[ID ]],TabelaGeral[[ Setor Segmento]],)</f>
        <v xml:space="preserve"> Renda Urbana</v>
      </c>
      <c r="G35" s="29">
        <v>98.84</v>
      </c>
      <c r="H35" s="21">
        <v>1</v>
      </c>
      <c r="I35" s="29">
        <f t="shared" si="0"/>
        <v>98.84</v>
      </c>
    </row>
    <row r="36" spans="2:9">
      <c r="B36" s="21">
        <v>2</v>
      </c>
      <c r="C36" s="22">
        <v>45875</v>
      </c>
      <c r="D36" s="21" t="str">
        <f>_xlfn.XLOOKUP(TabelaAporte[[#This Row],[ID]],Tabela1[[ID ]],Tabela1[Ativo])</f>
        <v>BTLG11</v>
      </c>
      <c r="E36" s="21" t="str">
        <f>_xlfn.XLOOKUP(TabelaAporte[[#This Row],[ID]],Tabela1[[ID ]],Tabela1[[ TipoAtivo ]])</f>
        <v>FII</v>
      </c>
      <c r="F36" s="21" t="str">
        <f>_xlfn.XLOOKUP(TabelaAporte[[#This Row],[ID]],TabelaGeral[[ID ]],TabelaGeral[[ Setor Segmento]],)</f>
        <v xml:space="preserve"> Logística</v>
      </c>
      <c r="G36" s="29">
        <v>98.6</v>
      </c>
      <c r="H36" s="21">
        <v>1</v>
      </c>
      <c r="I36" s="29">
        <f t="shared" si="0"/>
        <v>98.6</v>
      </c>
    </row>
    <row r="37" spans="2:9">
      <c r="B37" s="21">
        <v>2</v>
      </c>
      <c r="C37" s="22">
        <v>45875</v>
      </c>
      <c r="D37" s="21" t="str">
        <f>_xlfn.XLOOKUP(TabelaAporte[[#This Row],[ID]],Tabela1[[ID ]],Tabela1[Ativo])</f>
        <v>BTLG11</v>
      </c>
      <c r="E37" s="21" t="str">
        <f>_xlfn.XLOOKUP(TabelaAporte[[#This Row],[ID]],Tabela1[[ID ]],Tabela1[[ TipoAtivo ]])</f>
        <v>FII</v>
      </c>
      <c r="F37" s="21" t="str">
        <f>_xlfn.XLOOKUP(TabelaAporte[[#This Row],[ID]],TabelaGeral[[ID ]],TabelaGeral[[ Setor Segmento]],)</f>
        <v xml:space="preserve"> Logística</v>
      </c>
      <c r="G37" s="29">
        <v>98.6</v>
      </c>
      <c r="H37" s="21">
        <v>1</v>
      </c>
      <c r="I37" s="29">
        <f t="shared" si="0"/>
        <v>98.6</v>
      </c>
    </row>
    <row r="38" spans="2:9">
      <c r="B38" s="21">
        <v>3</v>
      </c>
      <c r="C38" s="22">
        <v>45875</v>
      </c>
      <c r="D38" s="21" t="str">
        <f>_xlfn.XLOOKUP(TabelaAporte[[#This Row],[ID]],Tabela1[[ID ]],Tabela1[Ativo])</f>
        <v>XPML11</v>
      </c>
      <c r="E38" s="21" t="str">
        <f>_xlfn.XLOOKUP(TabelaAporte[[#This Row],[ID]],Tabela1[[ID ]],Tabela1[[ TipoAtivo ]])</f>
        <v>FII</v>
      </c>
      <c r="F38" s="21" t="str">
        <f>_xlfn.XLOOKUP(TabelaAporte[[#This Row],[ID]],TabelaGeral[[ID ]],TabelaGeral[[ Setor Segmento]],)</f>
        <v xml:space="preserve"> Shopping</v>
      </c>
      <c r="G38" s="29">
        <v>101</v>
      </c>
      <c r="H38" s="21">
        <v>1</v>
      </c>
      <c r="I38" s="29">
        <f t="shared" si="0"/>
        <v>101</v>
      </c>
    </row>
    <row r="39" spans="2:9">
      <c r="B39" s="21">
        <v>5</v>
      </c>
      <c r="C39" s="22">
        <v>45881</v>
      </c>
      <c r="D39" s="21" t="str">
        <f>_xlfn.XLOOKUP(TabelaAporte[[#This Row],[ID]],Tabela1[[ID ]],Tabela1[Ativo])</f>
        <v>BBAS3</v>
      </c>
      <c r="E39" s="21" t="str">
        <f>_xlfn.XLOOKUP(TabelaAporte[[#This Row],[ID]],Tabela1[[ID ]],Tabela1[[ TipoAtivo ]])</f>
        <v>Ação</v>
      </c>
      <c r="F39" s="21" t="str">
        <f>_xlfn.XLOOKUP(TabelaAporte[[#This Row],[ID]],TabelaGeral[[ID ]],TabelaGeral[[ Setor Segmento]],)</f>
        <v xml:space="preserve"> Seguros</v>
      </c>
      <c r="G39" s="29">
        <v>19.36</v>
      </c>
      <c r="H39" s="21">
        <v>5</v>
      </c>
      <c r="I39" s="29">
        <f t="shared" si="0"/>
        <v>96.8</v>
      </c>
    </row>
    <row r="40" spans="2:9">
      <c r="B40" s="21">
        <v>5</v>
      </c>
      <c r="C40" s="22">
        <v>45883</v>
      </c>
      <c r="D40" s="21" t="str">
        <f>_xlfn.XLOOKUP(TabelaAporte[[#This Row],[ID]],Tabela1[[ID ]],Tabela1[Ativo])</f>
        <v>BBAS3</v>
      </c>
      <c r="E40" s="21" t="str">
        <f>_xlfn.XLOOKUP(TabelaAporte[[#This Row],[ID]],Tabela1[[ID ]],Tabela1[[ TipoAtivo ]])</f>
        <v>Ação</v>
      </c>
      <c r="F40" s="21" t="str">
        <f>_xlfn.XLOOKUP(TabelaAporte[[#This Row],[ID]],TabelaGeral[[ID ]],TabelaGeral[[ Setor Segmento]],)</f>
        <v xml:space="preserve"> Seguros</v>
      </c>
      <c r="G40" s="29">
        <v>19.16</v>
      </c>
      <c r="H40" s="21">
        <v>5</v>
      </c>
      <c r="I40" s="29">
        <f t="shared" si="0"/>
        <v>95.8</v>
      </c>
    </row>
    <row r="41" spans="2:9">
      <c r="B41" s="21">
        <v>3</v>
      </c>
      <c r="C41" s="22">
        <v>45884</v>
      </c>
      <c r="D41" s="21" t="str">
        <f>_xlfn.XLOOKUP(TabelaAporte[[#This Row],[ID]],Tabela1[[ID ]],Tabela1[Ativo])</f>
        <v>XPML11</v>
      </c>
      <c r="E41" s="21" t="str">
        <f>_xlfn.XLOOKUP(TabelaAporte[[#This Row],[ID]],Tabela1[[ID ]],Tabela1[[ TipoAtivo ]])</f>
        <v>FII</v>
      </c>
      <c r="F41" s="21" t="str">
        <f>_xlfn.XLOOKUP(TabelaAporte[[#This Row],[ID]],TabelaGeral[[ID ]],TabelaGeral[[ Setor Segmento]],)</f>
        <v xml:space="preserve"> Shopping</v>
      </c>
      <c r="G41" s="29">
        <v>100.58</v>
      </c>
      <c r="H41" s="21">
        <v>1</v>
      </c>
      <c r="I41" s="29">
        <f t="shared" si="0"/>
        <v>100.58</v>
      </c>
    </row>
    <row r="42" spans="2:9">
      <c r="B42" s="21">
        <v>4</v>
      </c>
      <c r="C42" s="22">
        <v>45888</v>
      </c>
      <c r="D42" s="21" t="str">
        <f>_xlfn.XLOOKUP(TabelaAporte[[#This Row],[ID]],Tabela1[[ID ]],Tabela1[Ativo])</f>
        <v>KNSC11</v>
      </c>
      <c r="E42" s="21" t="str">
        <f>_xlfn.XLOOKUP(TabelaAporte[[#This Row],[ID]],Tabela1[[ID ]],Tabela1[[ TipoAtivo ]])</f>
        <v>FII</v>
      </c>
      <c r="F42" s="21" t="str">
        <f>_xlfn.XLOOKUP(TabelaAporte[[#This Row],[ID]],TabelaGeral[[ID ]],TabelaGeral[[ Setor Segmento]],)</f>
        <v xml:space="preserve"> Papel (CRI)</v>
      </c>
      <c r="G42" s="29">
        <v>8.7200000000000006</v>
      </c>
      <c r="H42" s="21">
        <v>3</v>
      </c>
      <c r="I42" s="29">
        <f t="shared" si="0"/>
        <v>26.160000000000004</v>
      </c>
    </row>
    <row r="43" spans="2:9">
      <c r="B43" s="21">
        <v>1</v>
      </c>
      <c r="C43" s="22">
        <v>45908</v>
      </c>
      <c r="D43" s="21" t="str">
        <f>_xlfn.XLOOKUP(TabelaAporte[[#This Row],[ID]],Tabela1[[ID ]],Tabela1[Ativo])</f>
        <v>TRXF11</v>
      </c>
      <c r="E43" s="21" t="str">
        <f>_xlfn.XLOOKUP(TabelaAporte[[#This Row],[ID]],Tabela1[[ID ]],Tabela1[[ TipoAtivo ]])</f>
        <v>FII</v>
      </c>
      <c r="F43" s="21" t="str">
        <f>_xlfn.XLOOKUP(TabelaAporte[[#This Row],[ID]],TabelaGeral[[ID ]],TabelaGeral[[ Setor Segmento]],)</f>
        <v xml:space="preserve"> Renda Urbana</v>
      </c>
      <c r="G43" s="29">
        <v>97.1</v>
      </c>
      <c r="H43" s="21">
        <v>1</v>
      </c>
      <c r="I43" s="29">
        <f t="shared" si="0"/>
        <v>97.1</v>
      </c>
    </row>
    <row r="44" spans="2:9">
      <c r="B44" s="21">
        <v>2</v>
      </c>
      <c r="C44" s="22">
        <v>45908</v>
      </c>
      <c r="D44" s="21" t="str">
        <f>_xlfn.XLOOKUP(TabelaAporte[[#This Row],[ID]],Tabela1[[ID ]],Tabela1[Ativo])</f>
        <v>BTLG11</v>
      </c>
      <c r="E44" s="21" t="str">
        <f>_xlfn.XLOOKUP(TabelaAporte[[#This Row],[ID]],Tabela1[[ID ]],Tabela1[[ TipoAtivo ]])</f>
        <v>FII</v>
      </c>
      <c r="F44" s="21" t="str">
        <f>_xlfn.XLOOKUP(TabelaAporte[[#This Row],[ID]],TabelaGeral[[ID ]],TabelaGeral[[ Setor Segmento]],)</f>
        <v xml:space="preserve"> Logística</v>
      </c>
      <c r="G44" s="29">
        <v>101.48</v>
      </c>
      <c r="H44" s="21">
        <v>1</v>
      </c>
      <c r="I44" s="29">
        <f t="shared" si="0"/>
        <v>101.48</v>
      </c>
    </row>
    <row r="45" spans="2:9">
      <c r="B45" s="21">
        <v>3</v>
      </c>
      <c r="C45" s="22">
        <v>45908</v>
      </c>
      <c r="D45" s="21" t="str">
        <f>_xlfn.XLOOKUP(TabelaAporte[[#This Row],[ID]],Tabela1[[ID ]],Tabela1[Ativo])</f>
        <v>XPML11</v>
      </c>
      <c r="E45" s="21" t="str">
        <f>_xlfn.XLOOKUP(TabelaAporte[[#This Row],[ID]],Tabela1[[ID ]],Tabela1[[ TipoAtivo ]])</f>
        <v>FII</v>
      </c>
      <c r="F45" s="21" t="str">
        <f>_xlfn.XLOOKUP(TabelaAporte[[#This Row],[ID]],TabelaGeral[[ID ]],TabelaGeral[[ Setor Segmento]],)</f>
        <v xml:space="preserve"> Shopping</v>
      </c>
      <c r="G45" s="29">
        <v>104.87</v>
      </c>
      <c r="H45" s="21">
        <v>1</v>
      </c>
      <c r="I45" s="29">
        <f t="shared" si="0"/>
        <v>104.87</v>
      </c>
    </row>
    <row r="46" spans="2:9">
      <c r="B46" s="21">
        <v>6</v>
      </c>
      <c r="C46" s="22">
        <v>45908</v>
      </c>
      <c r="D46" s="21" t="str">
        <f>_xlfn.XLOOKUP(TabelaAporte[[#This Row],[ID]],Tabela1[[ID ]],Tabela1[Ativo])</f>
        <v>RBVA11</v>
      </c>
      <c r="E46" s="21" t="str">
        <f>_xlfn.XLOOKUP(TabelaAporte[[#This Row],[ID]],Tabela1[[ID ]],Tabela1[[ TipoAtivo ]])</f>
        <v>FII</v>
      </c>
      <c r="F46" s="21" t="str">
        <f>_xlfn.XLOOKUP(TabelaAporte[[#This Row],[ID]],TabelaGeral[[ID ]],TabelaGeral[[ Setor Segmento]],)</f>
        <v xml:space="preserve"> Renda Urbana</v>
      </c>
      <c r="G46" s="29">
        <v>9</v>
      </c>
      <c r="H46" s="21">
        <v>14</v>
      </c>
      <c r="I46" s="29">
        <f t="shared" si="0"/>
        <v>126</v>
      </c>
    </row>
    <row r="47" spans="2:9">
      <c r="B47" s="21">
        <v>4</v>
      </c>
      <c r="C47" s="22">
        <v>45931</v>
      </c>
      <c r="D47" s="21" t="str">
        <f>_xlfn.XLOOKUP(TabelaAporte[[#This Row],[ID]],Tabela1[[ID ]],Tabela1[Ativo])</f>
        <v>KNSC11</v>
      </c>
      <c r="E47" s="21" t="str">
        <f>_xlfn.XLOOKUP(TabelaAporte[[#This Row],[ID]],Tabela1[[ID ]],Tabela1[[ TipoAtivo ]])</f>
        <v>FII</v>
      </c>
      <c r="F47" s="21" t="str">
        <f>_xlfn.XLOOKUP(TabelaAporte[[#This Row],[ID]],TabelaGeral[[ID ]],TabelaGeral[[ Setor Segmento]],)</f>
        <v xml:space="preserve"> Papel (CRI)</v>
      </c>
      <c r="G47" s="29">
        <v>8.67</v>
      </c>
      <c r="H47" s="21">
        <v>9</v>
      </c>
      <c r="I47" s="29">
        <f t="shared" si="0"/>
        <v>78.03</v>
      </c>
    </row>
    <row r="48" spans="2:9">
      <c r="B48" s="21">
        <v>1</v>
      </c>
      <c r="C48" s="22">
        <v>45937</v>
      </c>
      <c r="D48" s="21" t="str">
        <f>_xlfn.XLOOKUP(TabelaAporte[[#This Row],[ID]],Tabela1[[ID ]],Tabela1[Ativo])</f>
        <v>TRXF11</v>
      </c>
      <c r="E48" s="21" t="str">
        <f>_xlfn.XLOOKUP(TabelaAporte[[#This Row],[ID]],Tabela1[[ID ]],Tabela1[[ TipoAtivo ]])</f>
        <v>FII</v>
      </c>
      <c r="F48" s="21" t="str">
        <f>_xlfn.XLOOKUP(TabelaAporte[[#This Row],[ID]],TabelaGeral[[ID ]],TabelaGeral[[ Setor Segmento]],)</f>
        <v xml:space="preserve"> Renda Urbana</v>
      </c>
      <c r="G48" s="29">
        <v>100.23</v>
      </c>
      <c r="H48" s="21">
        <v>1</v>
      </c>
      <c r="I48" s="29">
        <f t="shared" si="0"/>
        <v>100.23</v>
      </c>
    </row>
    <row r="49" spans="2:9">
      <c r="B49" s="21">
        <v>2</v>
      </c>
      <c r="C49" s="22">
        <v>45937</v>
      </c>
      <c r="D49" s="21" t="str">
        <f>_xlfn.XLOOKUP(TabelaAporte[[#This Row],[ID]],Tabela1[[ID ]],Tabela1[Ativo])</f>
        <v>BTLG11</v>
      </c>
      <c r="E49" s="21" t="str">
        <f>_xlfn.XLOOKUP(TabelaAporte[[#This Row],[ID]],Tabela1[[ID ]],Tabela1[[ TipoAtivo ]])</f>
        <v>FII</v>
      </c>
      <c r="F49" s="21" t="str">
        <f>_xlfn.XLOOKUP(TabelaAporte[[#This Row],[ID]],TabelaGeral[[ID ]],TabelaGeral[[ Setor Segmento]],)</f>
        <v xml:space="preserve"> Logística</v>
      </c>
      <c r="G49" s="29">
        <v>104</v>
      </c>
      <c r="H49" s="21">
        <v>1</v>
      </c>
      <c r="I49" s="29">
        <f t="shared" si="0"/>
        <v>104</v>
      </c>
    </row>
    <row r="50" spans="2:9">
      <c r="B50" s="21">
        <v>3</v>
      </c>
      <c r="C50" s="22">
        <v>45937</v>
      </c>
      <c r="D50" s="21" t="str">
        <f>_xlfn.XLOOKUP(TabelaAporte[[#This Row],[ID]],Tabela1[[ID ]],Tabela1[Ativo])</f>
        <v>XPML11</v>
      </c>
      <c r="E50" s="21" t="str">
        <f>_xlfn.XLOOKUP(TabelaAporte[[#This Row],[ID]],Tabela1[[ID ]],Tabela1[[ TipoAtivo ]])</f>
        <v>FII</v>
      </c>
      <c r="F50" s="21" t="str">
        <f>_xlfn.XLOOKUP(TabelaAporte[[#This Row],[ID]],TabelaGeral[[ID ]],TabelaGeral[[ Setor Segmento]],)</f>
        <v xml:space="preserve"> Shopping</v>
      </c>
      <c r="G50" s="29">
        <v>105.57</v>
      </c>
      <c r="H50" s="21">
        <v>1</v>
      </c>
      <c r="I50" s="29">
        <f t="shared" si="0"/>
        <v>105.57</v>
      </c>
    </row>
    <row r="51" spans="2:9">
      <c r="B51" s="21">
        <v>6</v>
      </c>
      <c r="C51" s="22">
        <v>45937</v>
      </c>
      <c r="D51" s="21" t="str">
        <f>_xlfn.XLOOKUP(TabelaAporte[[#This Row],[ID]],Tabela1[[ID ]],Tabela1[Ativo])</f>
        <v>RBVA11</v>
      </c>
      <c r="E51" s="21" t="str">
        <f>_xlfn.XLOOKUP(TabelaAporte[[#This Row],[ID]],Tabela1[[ID ]],Tabela1[[ TipoAtivo ]])</f>
        <v>FII</v>
      </c>
      <c r="F51" s="21" t="str">
        <f>_xlfn.XLOOKUP(TabelaAporte[[#This Row],[ID]],TabelaGeral[[ID ]],TabelaGeral[[ Setor Segmento]],)</f>
        <v xml:space="preserve"> Renda Urbana</v>
      </c>
      <c r="G51" s="29">
        <v>9.42</v>
      </c>
      <c r="H51" s="21">
        <v>11</v>
      </c>
      <c r="I51" s="29">
        <f t="shared" si="0"/>
        <v>103.62</v>
      </c>
    </row>
    <row r="52" spans="2:9">
      <c r="B52" s="21">
        <v>1</v>
      </c>
      <c r="C52" s="22">
        <v>45968</v>
      </c>
      <c r="D52" s="21" t="str">
        <f>_xlfn.XLOOKUP(TabelaAporte[[#This Row],[ID]],Tabela1[[ID ]],Tabela1[Ativo])</f>
        <v>TRXF11</v>
      </c>
      <c r="E52" s="21" t="str">
        <f>_xlfn.XLOOKUP(TabelaAporte[[#This Row],[ID]],Tabela1[[ID ]],Tabela1[[ TipoAtivo ]])</f>
        <v>FII</v>
      </c>
      <c r="F52" s="21" t="str">
        <f>_xlfn.XLOOKUP(TabelaAporte[[#This Row],[ID]],TabelaGeral[[ID ]],TabelaGeral[[ Setor Segmento]],)</f>
        <v xml:space="preserve"> Renda Urbana</v>
      </c>
      <c r="G52" s="29">
        <v>100.79</v>
      </c>
      <c r="H52" s="21">
        <v>1</v>
      </c>
      <c r="I52" s="29">
        <f t="shared" si="0"/>
        <v>100.79</v>
      </c>
    </row>
    <row r="53" spans="2:9">
      <c r="B53" s="21">
        <v>1</v>
      </c>
      <c r="C53" s="22">
        <v>45968</v>
      </c>
      <c r="D53" s="21" t="str">
        <f>_xlfn.XLOOKUP(TabelaAporte[[#This Row],[ID]],Tabela1[[ID ]],Tabela1[Ativo])</f>
        <v>TRXF11</v>
      </c>
      <c r="E53" s="21" t="str">
        <f>_xlfn.XLOOKUP(TabelaAporte[[#This Row],[ID]],Tabela1[[ID ]],Tabela1[[ TipoAtivo ]])</f>
        <v>FII</v>
      </c>
      <c r="F53" s="21" t="str">
        <f>_xlfn.XLOOKUP(TabelaAporte[[#This Row],[ID]],TabelaGeral[[ID ]],TabelaGeral[[ Setor Segmento]],)</f>
        <v xml:space="preserve"> Renda Urbana</v>
      </c>
      <c r="G53" s="29">
        <v>100.78</v>
      </c>
      <c r="H53" s="21">
        <v>1</v>
      </c>
      <c r="I53" s="29">
        <f t="shared" si="0"/>
        <v>100.78</v>
      </c>
    </row>
    <row r="54" spans="2:9">
      <c r="B54" s="21">
        <v>3</v>
      </c>
      <c r="C54" s="22">
        <v>45968</v>
      </c>
      <c r="D54" s="21" t="str">
        <f>_xlfn.XLOOKUP(TabelaAporte[[#This Row],[ID]],Tabela1[[ID ]],Tabela1[Ativo])</f>
        <v>XPML11</v>
      </c>
      <c r="E54" s="21" t="str">
        <f>_xlfn.XLOOKUP(TabelaAporte[[#This Row],[ID]],Tabela1[[ID ]],Tabela1[[ TipoAtivo ]])</f>
        <v>FII</v>
      </c>
      <c r="F54" s="21" t="str">
        <f>_xlfn.XLOOKUP(TabelaAporte[[#This Row],[ID]],TabelaGeral[[ID ]],TabelaGeral[[ Setor Segmento]],)</f>
        <v xml:space="preserve"> Shopping</v>
      </c>
      <c r="G54" s="29">
        <v>106.66</v>
      </c>
      <c r="H54" s="21">
        <v>1</v>
      </c>
      <c r="I54" s="29">
        <f t="shared" si="0"/>
        <v>106.66</v>
      </c>
    </row>
    <row r="55" spans="2:9">
      <c r="B55" s="21">
        <v>4</v>
      </c>
      <c r="C55" s="22">
        <v>45968</v>
      </c>
      <c r="D55" s="21" t="str">
        <f>_xlfn.XLOOKUP(TabelaAporte[[#This Row],[ID]],Tabela1[[ID ]],Tabela1[Ativo])</f>
        <v>KNSC11</v>
      </c>
      <c r="E55" s="21" t="str">
        <f>_xlfn.XLOOKUP(TabelaAporte[[#This Row],[ID]],Tabela1[[ID ]],Tabela1[[ TipoAtivo ]])</f>
        <v>FII</v>
      </c>
      <c r="F55" s="21" t="str">
        <f>_xlfn.XLOOKUP(TabelaAporte[[#This Row],[ID]],TabelaGeral[[ID ]],TabelaGeral[[ Setor Segmento]],)</f>
        <v xml:space="preserve"> Papel (CRI)</v>
      </c>
      <c r="G55" s="29">
        <v>8.6199999999999992</v>
      </c>
      <c r="H55" s="21">
        <v>12</v>
      </c>
      <c r="I55" s="29">
        <f t="shared" si="0"/>
        <v>103.44</v>
      </c>
    </row>
    <row r="56" spans="2:9">
      <c r="B56" s="21">
        <v>6</v>
      </c>
      <c r="C56" s="22">
        <v>45968</v>
      </c>
      <c r="D56" s="21" t="str">
        <f>_xlfn.XLOOKUP(TabelaAporte[[#This Row],[ID]],Tabela1[[ID ]],Tabela1[Ativo])</f>
        <v>RBVA11</v>
      </c>
      <c r="E56" s="21" t="str">
        <f>_xlfn.XLOOKUP(TabelaAporte[[#This Row],[ID]],Tabela1[[ID ]],Tabela1[[ TipoAtivo ]])</f>
        <v>FII</v>
      </c>
      <c r="F56" s="21" t="str">
        <f>_xlfn.XLOOKUP(TabelaAporte[[#This Row],[ID]],TabelaGeral[[ID ]],TabelaGeral[[ Setor Segmento]],)</f>
        <v xml:space="preserve"> Renda Urbana</v>
      </c>
      <c r="G56" s="29">
        <v>9.5399999999999991</v>
      </c>
      <c r="H56" s="21">
        <v>10</v>
      </c>
      <c r="I56" s="29">
        <f t="shared" si="0"/>
        <v>95.399999999999991</v>
      </c>
    </row>
    <row r="57" spans="2:9">
      <c r="B57" s="21">
        <v>1</v>
      </c>
      <c r="C57" s="22">
        <v>45996</v>
      </c>
      <c r="D57" s="21" t="str">
        <f>_xlfn.XLOOKUP(TabelaAporte[[#This Row],[ID]],Tabela1[[ID ]],Tabela1[Ativo])</f>
        <v>TRXF11</v>
      </c>
      <c r="E57" s="21" t="str">
        <f>_xlfn.XLOOKUP(TabelaAporte[[#This Row],[ID]],Tabela1[[ID ]],Tabela1[[ TipoAtivo ]])</f>
        <v>FII</v>
      </c>
      <c r="F57" s="21" t="str">
        <f>_xlfn.XLOOKUP(TabelaAporte[[#This Row],[ID]],TabelaGeral[[ID ]],TabelaGeral[[ Setor Segmento]],)</f>
        <v xml:space="preserve"> Renda Urbana</v>
      </c>
      <c r="G57" s="29">
        <v>100.17</v>
      </c>
      <c r="H57" s="21">
        <v>1</v>
      </c>
      <c r="I57" s="29">
        <f t="shared" si="0"/>
        <v>100.17</v>
      </c>
    </row>
    <row r="58" spans="2:9">
      <c r="B58" s="21">
        <v>3</v>
      </c>
      <c r="C58" s="22">
        <v>45996</v>
      </c>
      <c r="D58" s="21" t="str">
        <f>_xlfn.XLOOKUP(TabelaAporte[[#This Row],[ID]],Tabela1[[ID ]],Tabela1[Ativo])</f>
        <v>XPML11</v>
      </c>
      <c r="E58" s="21" t="str">
        <f>_xlfn.XLOOKUP(TabelaAporte[[#This Row],[ID]],Tabela1[[ID ]],Tabela1[[ TipoAtivo ]])</f>
        <v>FII</v>
      </c>
      <c r="F58" s="21" t="str">
        <f>_xlfn.XLOOKUP(TabelaAporte[[#This Row],[ID]],TabelaGeral[[ID ]],TabelaGeral[[ Setor Segmento]],)</f>
        <v xml:space="preserve"> Shopping</v>
      </c>
      <c r="G58" s="29">
        <v>107.57</v>
      </c>
      <c r="H58" s="21">
        <v>1</v>
      </c>
      <c r="I58" s="29">
        <f t="shared" si="0"/>
        <v>107.57</v>
      </c>
    </row>
    <row r="59" spans="2:9">
      <c r="B59" s="21">
        <v>4</v>
      </c>
      <c r="C59" s="22">
        <v>45996</v>
      </c>
      <c r="D59" s="21" t="str">
        <f>_xlfn.XLOOKUP(TabelaAporte[[#This Row],[ID]],Tabela1[[ID ]],Tabela1[Ativo])</f>
        <v>KNSC11</v>
      </c>
      <c r="E59" s="21" t="str">
        <f>_xlfn.XLOOKUP(TabelaAporte[[#This Row],[ID]],Tabela1[[ID ]],Tabela1[[ TipoAtivo ]])</f>
        <v>FII</v>
      </c>
      <c r="F59" s="21" t="str">
        <f>_xlfn.XLOOKUP(TabelaAporte[[#This Row],[ID]],TabelaGeral[[ID ]],TabelaGeral[[ Setor Segmento]],)</f>
        <v xml:space="preserve"> Papel (CRI)</v>
      </c>
      <c r="G59" s="29">
        <v>8.6</v>
      </c>
      <c r="H59" s="21">
        <v>10</v>
      </c>
      <c r="I59" s="29">
        <f t="shared" si="0"/>
        <v>86</v>
      </c>
    </row>
    <row r="60" spans="2:9">
      <c r="B60" s="21">
        <v>6</v>
      </c>
      <c r="C60" s="22">
        <v>45996</v>
      </c>
      <c r="D60" s="21" t="str">
        <f>_xlfn.XLOOKUP(TabelaAporte[[#This Row],[ID]],Tabela1[[ID ]],Tabela1[Ativo])</f>
        <v>RBVA11</v>
      </c>
      <c r="E60" s="21" t="str">
        <f>_xlfn.XLOOKUP(TabelaAporte[[#This Row],[ID]],Tabela1[[ID ]],Tabela1[[ TipoAtivo ]])</f>
        <v>FII</v>
      </c>
      <c r="F60" s="21" t="str">
        <f>_xlfn.XLOOKUP(TabelaAporte[[#This Row],[ID]],TabelaGeral[[ID ]],TabelaGeral[[ Setor Segmento]],)</f>
        <v xml:space="preserve"> Renda Urbana</v>
      </c>
      <c r="G60" s="29">
        <v>9.91</v>
      </c>
      <c r="H60" s="21">
        <v>10</v>
      </c>
      <c r="I60" s="29">
        <f t="shared" si="0"/>
        <v>99.1</v>
      </c>
    </row>
    <row r="61" spans="2:9">
      <c r="B61" s="21">
        <v>7</v>
      </c>
      <c r="C61" s="22">
        <v>45996</v>
      </c>
      <c r="D61" s="21" t="str">
        <f>_xlfn.XLOOKUP(TabelaAporte[[#This Row],[ID]],Tabela1[[ID ]],Tabela1[Ativo])</f>
        <v>TRXY11</v>
      </c>
      <c r="E61" s="21" t="str">
        <f>_xlfn.XLOOKUP(TabelaAporte[[#This Row],[ID]],Tabela1[[ID ]],Tabela1[[ TipoAtivo ]])</f>
        <v>FII</v>
      </c>
      <c r="F61" s="21" t="str">
        <f>_xlfn.XLOOKUP(TabelaAporte[[#This Row],[ID]],TabelaGeral[[ID ]],TabelaGeral[[ Setor Segmento]],)</f>
        <v xml:space="preserve"> Híbrido</v>
      </c>
      <c r="G61" s="29">
        <v>9.36</v>
      </c>
      <c r="H61" s="21">
        <v>10</v>
      </c>
      <c r="I61" s="29">
        <f t="shared" si="0"/>
        <v>93.6</v>
      </c>
    </row>
    <row r="62" spans="2:9">
      <c r="B62" s="21">
        <v>1</v>
      </c>
      <c r="C62" s="22">
        <v>46029</v>
      </c>
      <c r="D62" s="21" t="str">
        <f>_xlfn.XLOOKUP(TabelaAporte[[#This Row],[ID]],Tabela1[[ID ]],Tabela1[Ativo])</f>
        <v>TRXF11</v>
      </c>
      <c r="E62" s="21" t="str">
        <f>_xlfn.XLOOKUP(TabelaAporte[[#This Row],[ID]],Tabela1[[ID ]],Tabela1[[ TipoAtivo ]])</f>
        <v>FII</v>
      </c>
      <c r="F62" s="21" t="str">
        <f>_xlfn.XLOOKUP(TabelaAporte[[#This Row],[ID]],TabelaGeral[[ID ]],TabelaGeral[[ Setor Segmento]],)</f>
        <v xml:space="preserve"> Renda Urbana</v>
      </c>
      <c r="G62" s="29">
        <v>97.17</v>
      </c>
      <c r="H62" s="21">
        <v>1</v>
      </c>
      <c r="I62" s="29">
        <f t="shared" si="0"/>
        <v>97.17</v>
      </c>
    </row>
    <row r="63" spans="2:9">
      <c r="B63" s="21">
        <v>3</v>
      </c>
      <c r="C63" s="22">
        <v>46029</v>
      </c>
      <c r="D63" s="21" t="str">
        <f>_xlfn.XLOOKUP(TabelaAporte[[#This Row],[ID]],Tabela1[[ID ]],Tabela1[Ativo])</f>
        <v>XPML11</v>
      </c>
      <c r="E63" s="21" t="str">
        <f>_xlfn.XLOOKUP(TabelaAporte[[#This Row],[ID]],Tabela1[[ID ]],Tabela1[[ TipoAtivo ]])</f>
        <v>FII</v>
      </c>
      <c r="F63" s="21" t="str">
        <f>_xlfn.XLOOKUP(TabelaAporte[[#This Row],[ID]],TabelaGeral[[ID ]],TabelaGeral[[ Setor Segmento]],)</f>
        <v xml:space="preserve"> Shopping</v>
      </c>
      <c r="G63" s="29">
        <v>109.13</v>
      </c>
      <c r="H63" s="21">
        <v>1</v>
      </c>
      <c r="I63" s="29">
        <f t="shared" si="0"/>
        <v>109.13</v>
      </c>
    </row>
    <row r="64" spans="2:9">
      <c r="B64" s="21">
        <v>4</v>
      </c>
      <c r="C64" s="22">
        <v>46029</v>
      </c>
      <c r="D64" s="21" t="str">
        <f>_xlfn.XLOOKUP(TabelaAporte[[#This Row],[ID]],Tabela1[[ID ]],Tabela1[Ativo])</f>
        <v>KNSC11</v>
      </c>
      <c r="E64" s="21" t="str">
        <f>_xlfn.XLOOKUP(TabelaAporte[[#This Row],[ID]],Tabela1[[ID ]],Tabela1[[ TipoAtivo ]])</f>
        <v>FII</v>
      </c>
      <c r="F64" s="21" t="str">
        <f>_xlfn.XLOOKUP(TabelaAporte[[#This Row],[ID]],TabelaGeral[[ID ]],TabelaGeral[[ Setor Segmento]],)</f>
        <v xml:space="preserve"> Papel (CRI)</v>
      </c>
      <c r="G64" s="29">
        <v>8.51</v>
      </c>
      <c r="H64" s="21">
        <v>10</v>
      </c>
      <c r="I64" s="29">
        <f t="shared" si="0"/>
        <v>85.1</v>
      </c>
    </row>
    <row r="65" spans="2:9">
      <c r="B65" s="21">
        <v>6</v>
      </c>
      <c r="C65" s="22">
        <v>46029</v>
      </c>
      <c r="D65" s="21" t="str">
        <f>_xlfn.XLOOKUP(TabelaAporte[[#This Row],[ID]],Tabela1[[ID ]],Tabela1[Ativo])</f>
        <v>RBVA11</v>
      </c>
      <c r="E65" s="21" t="str">
        <f>_xlfn.XLOOKUP(TabelaAporte[[#This Row],[ID]],Tabela1[[ID ]],Tabela1[[ TipoAtivo ]])</f>
        <v>FII</v>
      </c>
      <c r="F65" s="21" t="str">
        <f>_xlfn.XLOOKUP(TabelaAporte[[#This Row],[ID]],TabelaGeral[[ID ]],TabelaGeral[[ Setor Segmento]],)</f>
        <v xml:space="preserve"> Renda Urbana</v>
      </c>
      <c r="G65" s="29">
        <v>9.92</v>
      </c>
      <c r="H65" s="21">
        <v>10</v>
      </c>
      <c r="I65" s="29">
        <f t="shared" si="0"/>
        <v>99.2</v>
      </c>
    </row>
    <row r="66" spans="2:9">
      <c r="B66" s="21">
        <v>7</v>
      </c>
      <c r="C66" s="22">
        <v>46029</v>
      </c>
      <c r="D66" s="21" t="str">
        <f>_xlfn.XLOOKUP(TabelaAporte[[#This Row],[ID]],Tabela1[[ID ]],Tabela1[Ativo])</f>
        <v>TRXY11</v>
      </c>
      <c r="E66" s="21" t="str">
        <f>_xlfn.XLOOKUP(TabelaAporte[[#This Row],[ID]],Tabela1[[ID ]],Tabela1[[ TipoAtivo ]])</f>
        <v>FII</v>
      </c>
      <c r="F66" s="21" t="str">
        <f>_xlfn.XLOOKUP(TabelaAporte[[#This Row],[ID]],TabelaGeral[[ID ]],TabelaGeral[[ Setor Segmento]],)</f>
        <v xml:space="preserve"> Híbrido</v>
      </c>
      <c r="G66" s="29">
        <v>9.4700000000000006</v>
      </c>
      <c r="H66" s="21">
        <v>14</v>
      </c>
      <c r="I66" s="29">
        <f t="shared" si="0"/>
        <v>132.58000000000001</v>
      </c>
    </row>
    <row r="67" spans="2:9">
      <c r="B67" s="21">
        <v>2</v>
      </c>
      <c r="C67" s="22">
        <v>46059</v>
      </c>
      <c r="D67" s="21" t="str">
        <f>_xlfn.XLOOKUP(TabelaAporte[[#This Row],[ID]],Tabela1[[ID ]],Tabela1[Ativo])</f>
        <v>BTLG11</v>
      </c>
      <c r="E67" s="21" t="str">
        <f>_xlfn.XLOOKUP(TabelaAporte[[#This Row],[ID]],Tabela1[[ID ]],Tabela1[[ TipoAtivo ]])</f>
        <v>FII</v>
      </c>
      <c r="F67" s="21" t="str">
        <f>_xlfn.XLOOKUP(TabelaAporte[[#This Row],[ID]],TabelaGeral[[ID ]],TabelaGeral[[ Setor Segmento]],)</f>
        <v xml:space="preserve"> Logística</v>
      </c>
      <c r="G67" s="29">
        <v>102.65</v>
      </c>
      <c r="H67" s="21">
        <v>1</v>
      </c>
      <c r="I67" s="29">
        <f t="shared" ref="I67:I130" si="1">H67*G67</f>
        <v>102.65</v>
      </c>
    </row>
    <row r="68" spans="2:9">
      <c r="B68" s="21">
        <v>8</v>
      </c>
      <c r="C68" s="22">
        <v>46059</v>
      </c>
      <c r="D68" s="21" t="str">
        <f>_xlfn.XLOOKUP(TabelaAporte[[#This Row],[ID]],Tabela1[[ID ]],Tabela1[Ativo])</f>
        <v>HGLG11</v>
      </c>
      <c r="E68" s="21" t="str">
        <f>_xlfn.XLOOKUP(TabelaAporte[[#This Row],[ID]],Tabela1[[ID ]],Tabela1[[ TipoAtivo ]])</f>
        <v>FII</v>
      </c>
      <c r="F68" s="21" t="str">
        <f>_xlfn.XLOOKUP(TabelaAporte[[#This Row],[ID]],TabelaGeral[[ID ]],TabelaGeral[[ Setor Segmento]],)</f>
        <v xml:space="preserve"> Logística</v>
      </c>
      <c r="G68" s="29">
        <v>156.94999999999999</v>
      </c>
      <c r="H68" s="21">
        <v>1</v>
      </c>
      <c r="I68" s="29">
        <f t="shared" si="1"/>
        <v>156.94999999999999</v>
      </c>
    </row>
    <row r="69" spans="2:9">
      <c r="B69" s="21">
        <v>9</v>
      </c>
      <c r="C69" s="22">
        <v>46059</v>
      </c>
      <c r="D69" s="21" t="str">
        <f>_xlfn.XLOOKUP(TabelaAporte[[#This Row],[ID]],Tabela1[[ID ]],Tabela1[Ativo])</f>
        <v>XPLG11</v>
      </c>
      <c r="E69" s="21" t="str">
        <f>_xlfn.XLOOKUP(TabelaAporte[[#This Row],[ID]],Tabela1[[ID ]],Tabela1[[ TipoAtivo ]])</f>
        <v>FII</v>
      </c>
      <c r="F69" s="21" t="str">
        <f>_xlfn.XLOOKUP(TabelaAporte[[#This Row],[ID]],TabelaGeral[[ID ]],TabelaGeral[[ Setor Segmento]],)</f>
        <v xml:space="preserve"> Logística</v>
      </c>
      <c r="G69" s="29">
        <v>102.94</v>
      </c>
      <c r="H69" s="21">
        <v>1</v>
      </c>
      <c r="I69" s="29">
        <f t="shared" si="1"/>
        <v>102.94</v>
      </c>
    </row>
    <row r="70" spans="2:9">
      <c r="B70" s="21">
        <v>10</v>
      </c>
      <c r="C70" s="22">
        <v>46059</v>
      </c>
      <c r="D70" s="21" t="str">
        <f>_xlfn.XLOOKUP(TabelaAporte[[#This Row],[ID]],Tabela1[[ID ]],Tabela1[Ativo])</f>
        <v>ITSA4</v>
      </c>
      <c r="E70" s="21" t="str">
        <f>_xlfn.XLOOKUP(TabelaAporte[[#This Row],[ID]],Tabela1[[ID ]],Tabela1[[ TipoAtivo ]])</f>
        <v>Ação</v>
      </c>
      <c r="F70" s="21" t="str">
        <f>_xlfn.XLOOKUP(TabelaAporte[[#This Row],[ID]],TabelaGeral[[ID ]],TabelaGeral[[ Setor Segmento]],)</f>
        <v xml:space="preserve"> Holding Financeira</v>
      </c>
      <c r="G70" s="29">
        <v>14.12</v>
      </c>
      <c r="H70" s="21">
        <v>12</v>
      </c>
      <c r="I70" s="29">
        <f t="shared" si="1"/>
        <v>169.44</v>
      </c>
    </row>
    <row r="71" spans="2:9">
      <c r="B71" s="21">
        <v>7</v>
      </c>
      <c r="C71" s="22">
        <v>46084</v>
      </c>
      <c r="D71" s="21" t="str">
        <f>_xlfn.XLOOKUP(TabelaAporte[[#This Row],[ID]],Tabela1[[ID ]],Tabela1[Ativo])</f>
        <v>TRXY11</v>
      </c>
      <c r="E71" s="21" t="str">
        <f>_xlfn.XLOOKUP(TabelaAporte[[#This Row],[ID]],Tabela1[[ID ]],Tabela1[[ TipoAtivo ]])</f>
        <v>FII</v>
      </c>
      <c r="F71" s="21" t="str">
        <f>_xlfn.XLOOKUP(TabelaAporte[[#This Row],[ID]],TabelaGeral[[ID ]],TabelaGeral[[ Setor Segmento]],)</f>
        <v xml:space="preserve"> Híbrido</v>
      </c>
      <c r="G71" s="29">
        <v>9.4</v>
      </c>
      <c r="H71" s="21">
        <v>8</v>
      </c>
      <c r="I71" s="29">
        <f t="shared" si="1"/>
        <v>75.2</v>
      </c>
    </row>
    <row r="72" spans="2:9">
      <c r="B72" s="21">
        <v>2</v>
      </c>
      <c r="C72" s="22">
        <v>46084</v>
      </c>
      <c r="D72" s="21" t="str">
        <f>_xlfn.XLOOKUP(TabelaAporte[[#This Row],[ID]],Tabela1[[ID ]],Tabela1[Ativo])</f>
        <v>BTLG11</v>
      </c>
      <c r="E72" s="21" t="str">
        <f>_xlfn.XLOOKUP(TabelaAporte[[#This Row],[ID]],Tabela1[[ID ]],Tabela1[[ TipoAtivo ]])</f>
        <v>FII</v>
      </c>
      <c r="F72" s="21" t="str">
        <f>_xlfn.XLOOKUP(TabelaAporte[[#This Row],[ID]],TabelaGeral[[ID ]],TabelaGeral[[ Setor Segmento]],)</f>
        <v xml:space="preserve"> Logística</v>
      </c>
      <c r="G72" s="29">
        <v>103.48</v>
      </c>
      <c r="H72" s="21">
        <v>1</v>
      </c>
      <c r="I72" s="29">
        <f t="shared" si="1"/>
        <v>103.48</v>
      </c>
    </row>
    <row r="73" spans="2:9">
      <c r="B73" s="23">
        <v>8</v>
      </c>
      <c r="C73" s="22">
        <v>46084</v>
      </c>
      <c r="D73" s="21" t="str">
        <f>_xlfn.XLOOKUP(TabelaAporte[[#This Row],[ID]],Tabela1[[ID ]],Tabela1[Ativo])</f>
        <v>HGLG11</v>
      </c>
      <c r="E73" s="23" t="str">
        <f>_xlfn.XLOOKUP(TabelaAporte[[#This Row],[ID]],Tabela1[[ID ]],Tabela1[[ TipoAtivo ]])</f>
        <v>FII</v>
      </c>
      <c r="F73" s="23" t="str">
        <f>_xlfn.XLOOKUP(TabelaAporte[[#This Row],[ID]],TabelaGeral[[ID ]],TabelaGeral[[ Setor Segmento]],)</f>
        <v xml:space="preserve"> Logística</v>
      </c>
      <c r="G73" s="30">
        <v>158.57</v>
      </c>
      <c r="H73" s="23">
        <v>1</v>
      </c>
      <c r="I73" s="29">
        <f t="shared" si="1"/>
        <v>158.57</v>
      </c>
    </row>
    <row r="74" spans="2:9">
      <c r="B74" s="23">
        <v>11</v>
      </c>
      <c r="C74" s="22">
        <v>46084</v>
      </c>
      <c r="D74" s="21" t="str">
        <f>_xlfn.XLOOKUP(TabelaAporte[[#This Row],[ID]],Tabela1[[ID ]],Tabela1[Ativo])</f>
        <v>EGIE3</v>
      </c>
      <c r="E74" s="23" t="str">
        <f>_xlfn.XLOOKUP(TabelaAporte[[#This Row],[ID]],Tabela1[[ID ]],Tabela1[[ TipoAtivo ]])</f>
        <v>Ação</v>
      </c>
      <c r="F74" s="23" t="str">
        <f>_xlfn.XLOOKUP(TabelaAporte[[#This Row],[ID]],TabelaGeral[[ID ]],TabelaGeral[[ Setor Segmento]],)</f>
        <v>Energia Elétrica</v>
      </c>
      <c r="G74" s="30">
        <v>31.87</v>
      </c>
      <c r="H74" s="23">
        <v>5</v>
      </c>
      <c r="I74" s="29">
        <f t="shared" si="1"/>
        <v>159.35</v>
      </c>
    </row>
    <row r="75" spans="2:9">
      <c r="B75" s="23"/>
      <c r="C75" s="24"/>
      <c r="D75" s="21" t="e">
        <f>_xlfn.XLOOKUP(TabelaAporte[[#This Row],[ID]],Tabela1[[ID ]],Tabela1[Ativo])</f>
        <v>#N/A</v>
      </c>
      <c r="E75" s="23" t="e">
        <f>_xlfn.XLOOKUP(TabelaAporte[[#This Row],[ID]],Tabela1[[ID ]],Tabela1[[ TipoAtivo ]])</f>
        <v>#N/A</v>
      </c>
      <c r="F75" s="23" t="e">
        <f>_xlfn.XLOOKUP(TabelaAporte[[#This Row],[ID]],TabelaGeral[[ID ]],TabelaGeral[[ Setor Segmento]],)</f>
        <v>#N/A</v>
      </c>
      <c r="G75" s="30"/>
      <c r="H75" s="23"/>
      <c r="I75" s="29">
        <f t="shared" si="1"/>
        <v>0</v>
      </c>
    </row>
    <row r="76" spans="2:9">
      <c r="B76" s="23"/>
      <c r="C76" s="24"/>
      <c r="D76" s="21" t="e">
        <f>_xlfn.XLOOKUP(TabelaAporte[[#This Row],[ID]],Tabela1[[ID ]],Tabela1[Ativo])</f>
        <v>#N/A</v>
      </c>
      <c r="E76" s="23" t="e">
        <f>_xlfn.XLOOKUP(TabelaAporte[[#This Row],[ID]],Tabela1[[ID ]],Tabela1[[ TipoAtivo ]])</f>
        <v>#N/A</v>
      </c>
      <c r="F76" s="23" t="e">
        <f>_xlfn.XLOOKUP(TabelaAporte[[#This Row],[ID]],TabelaGeral[[ID ]],TabelaGeral[[ Setor Segmento]],)</f>
        <v>#N/A</v>
      </c>
      <c r="G76" s="30"/>
      <c r="H76" s="23"/>
      <c r="I76" s="29">
        <f t="shared" si="1"/>
        <v>0</v>
      </c>
    </row>
    <row r="77" spans="2:9">
      <c r="B77" s="23"/>
      <c r="C77" s="24"/>
      <c r="D77" s="21" t="e">
        <f>_xlfn.XLOOKUP(TabelaAporte[[#This Row],[ID]],Tabela1[[ID ]],Tabela1[Ativo])</f>
        <v>#N/A</v>
      </c>
      <c r="E77" s="23" t="e">
        <f>_xlfn.XLOOKUP(TabelaAporte[[#This Row],[ID]],Tabela1[[ID ]],Tabela1[[ TipoAtivo ]])</f>
        <v>#N/A</v>
      </c>
      <c r="F77" s="23" t="e">
        <f>_xlfn.XLOOKUP(TabelaAporte[[#This Row],[ID]],TabelaGeral[[ID ]],TabelaGeral[[ Setor Segmento]],)</f>
        <v>#N/A</v>
      </c>
      <c r="G77" s="30"/>
      <c r="H77" s="23"/>
      <c r="I77" s="29">
        <f t="shared" si="1"/>
        <v>0</v>
      </c>
    </row>
    <row r="78" spans="2:9">
      <c r="B78" s="23"/>
      <c r="C78" s="24"/>
      <c r="D78" s="21" t="e">
        <f>_xlfn.XLOOKUP(TabelaAporte[[#This Row],[ID]],Tabela1[[ID ]],Tabela1[Ativo])</f>
        <v>#N/A</v>
      </c>
      <c r="E78" s="23" t="e">
        <f>_xlfn.XLOOKUP(TabelaAporte[[#This Row],[ID]],Tabela1[[ID ]],Tabela1[[ TipoAtivo ]])</f>
        <v>#N/A</v>
      </c>
      <c r="F78" s="23" t="e">
        <f>_xlfn.XLOOKUP(TabelaAporte[[#This Row],[ID]],TabelaGeral[[ID ]],TabelaGeral[[ Setor Segmento]],)</f>
        <v>#N/A</v>
      </c>
      <c r="G78" s="30"/>
      <c r="H78" s="23"/>
      <c r="I78" s="29">
        <f t="shared" si="1"/>
        <v>0</v>
      </c>
    </row>
    <row r="79" spans="2:9">
      <c r="B79" s="23"/>
      <c r="C79" s="24"/>
      <c r="D79" s="21" t="e">
        <f>_xlfn.XLOOKUP(TabelaAporte[[#This Row],[ID]],Tabela1[[ID ]],Tabela1[Ativo])</f>
        <v>#N/A</v>
      </c>
      <c r="E79" s="23" t="e">
        <f>_xlfn.XLOOKUP(TabelaAporte[[#This Row],[ID]],Tabela1[[ID ]],Tabela1[[ TipoAtivo ]])</f>
        <v>#N/A</v>
      </c>
      <c r="F79" s="23" t="e">
        <f>_xlfn.XLOOKUP(TabelaAporte[[#This Row],[ID]],TabelaGeral[[ID ]],TabelaGeral[[ Setor Segmento]],)</f>
        <v>#N/A</v>
      </c>
      <c r="G79" s="30"/>
      <c r="H79" s="23"/>
      <c r="I79" s="29">
        <f t="shared" si="1"/>
        <v>0</v>
      </c>
    </row>
    <row r="80" spans="2:9">
      <c r="B80" s="23"/>
      <c r="C80" s="24"/>
      <c r="D80" s="21" t="e">
        <f>_xlfn.XLOOKUP(TabelaAporte[[#This Row],[ID]],Tabela1[[ID ]],Tabela1[Ativo])</f>
        <v>#N/A</v>
      </c>
      <c r="E80" s="23" t="e">
        <f>_xlfn.XLOOKUP(TabelaAporte[[#This Row],[ID]],Tabela1[[ID ]],Tabela1[[ TipoAtivo ]])</f>
        <v>#N/A</v>
      </c>
      <c r="F80" s="23" t="e">
        <f>_xlfn.XLOOKUP(TabelaAporte[[#This Row],[ID]],TabelaGeral[[ID ]],TabelaGeral[[ Setor Segmento]],)</f>
        <v>#N/A</v>
      </c>
      <c r="G80" s="30"/>
      <c r="H80" s="23"/>
      <c r="I80" s="29">
        <f t="shared" si="1"/>
        <v>0</v>
      </c>
    </row>
    <row r="81" spans="2:9">
      <c r="B81" s="23"/>
      <c r="C81" s="24"/>
      <c r="D81" s="21" t="e">
        <f>_xlfn.XLOOKUP(TabelaAporte[[#This Row],[ID]],Tabela1[[ID ]],Tabela1[Ativo])</f>
        <v>#N/A</v>
      </c>
      <c r="E81" s="23" t="e">
        <f>_xlfn.XLOOKUP(TabelaAporte[[#This Row],[ID]],Tabela1[[ID ]],Tabela1[[ TipoAtivo ]])</f>
        <v>#N/A</v>
      </c>
      <c r="F81" s="23" t="e">
        <f>_xlfn.XLOOKUP(TabelaAporte[[#This Row],[ID]],TabelaGeral[[ID ]],TabelaGeral[[ Setor Segmento]],)</f>
        <v>#N/A</v>
      </c>
      <c r="G81" s="30"/>
      <c r="H81" s="23"/>
      <c r="I81" s="29">
        <f t="shared" si="1"/>
        <v>0</v>
      </c>
    </row>
    <row r="82" spans="2:9">
      <c r="B82" s="23"/>
      <c r="C82" s="24"/>
      <c r="D82" s="21" t="e">
        <f>_xlfn.XLOOKUP(TabelaAporte[[#This Row],[ID]],Tabela1[[ID ]],Tabela1[Ativo])</f>
        <v>#N/A</v>
      </c>
      <c r="E82" s="23" t="e">
        <f>_xlfn.XLOOKUP(TabelaAporte[[#This Row],[ID]],Tabela1[[ID ]],Tabela1[[ TipoAtivo ]])</f>
        <v>#N/A</v>
      </c>
      <c r="F82" s="23" t="e">
        <f>_xlfn.XLOOKUP(TabelaAporte[[#This Row],[ID]],TabelaGeral[[ID ]],TabelaGeral[[ Setor Segmento]],)</f>
        <v>#N/A</v>
      </c>
      <c r="G82" s="30"/>
      <c r="H82" s="23"/>
      <c r="I82" s="29">
        <f t="shared" si="1"/>
        <v>0</v>
      </c>
    </row>
    <row r="83" spans="2:9">
      <c r="B83" s="23"/>
      <c r="C83" s="24"/>
      <c r="D83" s="21" t="e">
        <f>_xlfn.XLOOKUP(TabelaAporte[[#This Row],[ID]],Tabela1[[ID ]],Tabela1[Ativo])</f>
        <v>#N/A</v>
      </c>
      <c r="E83" s="23" t="e">
        <f>_xlfn.XLOOKUP(TabelaAporte[[#This Row],[ID]],Tabela1[[ID ]],Tabela1[[ TipoAtivo ]])</f>
        <v>#N/A</v>
      </c>
      <c r="F83" s="23" t="e">
        <f>_xlfn.XLOOKUP(TabelaAporte[[#This Row],[ID]],TabelaGeral[[ID ]],TabelaGeral[[ Setor Segmento]],)</f>
        <v>#N/A</v>
      </c>
      <c r="G83" s="30"/>
      <c r="H83" s="23"/>
      <c r="I83" s="29">
        <f t="shared" si="1"/>
        <v>0</v>
      </c>
    </row>
    <row r="84" spans="2:9">
      <c r="B84" s="23"/>
      <c r="C84" s="24"/>
      <c r="D84" s="21" t="e">
        <f>_xlfn.XLOOKUP(TabelaAporte[[#This Row],[ID]],Tabela1[[ID ]],Tabela1[Ativo])</f>
        <v>#N/A</v>
      </c>
      <c r="E84" s="23" t="e">
        <f>_xlfn.XLOOKUP(TabelaAporte[[#This Row],[ID]],Tabela1[[ID ]],Tabela1[[ TipoAtivo ]])</f>
        <v>#N/A</v>
      </c>
      <c r="F84" s="23" t="e">
        <f>_xlfn.XLOOKUP(TabelaAporte[[#This Row],[ID]],TabelaGeral[[ID ]],TabelaGeral[[ Setor Segmento]],)</f>
        <v>#N/A</v>
      </c>
      <c r="G84" s="30"/>
      <c r="H84" s="23"/>
      <c r="I84" s="29">
        <f t="shared" si="1"/>
        <v>0</v>
      </c>
    </row>
    <row r="85" spans="2:9">
      <c r="B85" s="23"/>
      <c r="C85" s="24"/>
      <c r="D85" s="21" t="e">
        <f>_xlfn.XLOOKUP(TabelaAporte[[#This Row],[ID]],Tabela1[[ID ]],Tabela1[Ativo])</f>
        <v>#N/A</v>
      </c>
      <c r="E85" s="23" t="e">
        <f>_xlfn.XLOOKUP(TabelaAporte[[#This Row],[ID]],Tabela1[[ID ]],Tabela1[[ TipoAtivo ]])</f>
        <v>#N/A</v>
      </c>
      <c r="F85" s="23" t="e">
        <f>_xlfn.XLOOKUP(TabelaAporte[[#This Row],[ID]],TabelaGeral[[ID ]],TabelaGeral[[ Setor Segmento]],)</f>
        <v>#N/A</v>
      </c>
      <c r="G85" s="30"/>
      <c r="H85" s="23"/>
      <c r="I85" s="29">
        <f t="shared" si="1"/>
        <v>0</v>
      </c>
    </row>
    <row r="86" spans="2:9">
      <c r="B86" s="23"/>
      <c r="C86" s="24"/>
      <c r="D86" s="21" t="e">
        <f>_xlfn.XLOOKUP(TabelaAporte[[#This Row],[ID]],Tabela1[[ID ]],Tabela1[Ativo])</f>
        <v>#N/A</v>
      </c>
      <c r="E86" s="23" t="e">
        <f>_xlfn.XLOOKUP(TabelaAporte[[#This Row],[ID]],Tabela1[[ID ]],Tabela1[[ TipoAtivo ]])</f>
        <v>#N/A</v>
      </c>
      <c r="F86" s="23" t="e">
        <f>_xlfn.XLOOKUP(TabelaAporte[[#This Row],[ID]],TabelaGeral[[ID ]],TabelaGeral[[ Setor Segmento]],)</f>
        <v>#N/A</v>
      </c>
      <c r="G86" s="30"/>
      <c r="H86" s="23"/>
      <c r="I86" s="29">
        <f t="shared" si="1"/>
        <v>0</v>
      </c>
    </row>
    <row r="87" spans="2:9">
      <c r="B87" s="23"/>
      <c r="C87" s="24"/>
      <c r="D87" s="21" t="e">
        <f>_xlfn.XLOOKUP(TabelaAporte[[#This Row],[ID]],Tabela1[[ID ]],Tabela1[Ativo])</f>
        <v>#N/A</v>
      </c>
      <c r="E87" s="23" t="e">
        <f>_xlfn.XLOOKUP(TabelaAporte[[#This Row],[ID]],Tabela1[[ID ]],Tabela1[[ TipoAtivo ]])</f>
        <v>#N/A</v>
      </c>
      <c r="F87" s="23" t="e">
        <f>_xlfn.XLOOKUP(TabelaAporte[[#This Row],[ID]],TabelaGeral[[ID ]],TabelaGeral[[ Setor Segmento]],)</f>
        <v>#N/A</v>
      </c>
      <c r="G87" s="30"/>
      <c r="H87" s="23"/>
      <c r="I87" s="29">
        <f t="shared" si="1"/>
        <v>0</v>
      </c>
    </row>
    <row r="88" spans="2:9">
      <c r="B88" s="23"/>
      <c r="C88" s="24"/>
      <c r="D88" s="21" t="e">
        <f>_xlfn.XLOOKUP(TabelaAporte[[#This Row],[ID]],Tabela1[[ID ]],Tabela1[Ativo])</f>
        <v>#N/A</v>
      </c>
      <c r="E88" s="23" t="e">
        <f>_xlfn.XLOOKUP(TabelaAporte[[#This Row],[ID]],Tabela1[[ID ]],Tabela1[[ TipoAtivo ]])</f>
        <v>#N/A</v>
      </c>
      <c r="F88" s="23" t="e">
        <f>_xlfn.XLOOKUP(TabelaAporte[[#This Row],[ID]],TabelaGeral[[ID ]],TabelaGeral[[ Setor Segmento]],)</f>
        <v>#N/A</v>
      </c>
      <c r="G88" s="30"/>
      <c r="H88" s="23"/>
      <c r="I88" s="29">
        <f t="shared" si="1"/>
        <v>0</v>
      </c>
    </row>
    <row r="89" spans="2:9">
      <c r="B89" s="23"/>
      <c r="C89" s="24"/>
      <c r="D89" s="21" t="e">
        <f>_xlfn.XLOOKUP(TabelaAporte[[#This Row],[ID]],Tabela1[[ID ]],Tabela1[Ativo])</f>
        <v>#N/A</v>
      </c>
      <c r="E89" s="23" t="e">
        <f>_xlfn.XLOOKUP(TabelaAporte[[#This Row],[ID]],Tabela1[[ID ]],Tabela1[[ TipoAtivo ]])</f>
        <v>#N/A</v>
      </c>
      <c r="F89" s="23" t="e">
        <f>_xlfn.XLOOKUP(TabelaAporte[[#This Row],[ID]],TabelaGeral[[ID ]],TabelaGeral[[ Setor Segmento]],)</f>
        <v>#N/A</v>
      </c>
      <c r="G89" s="30"/>
      <c r="H89" s="23"/>
      <c r="I89" s="29">
        <f t="shared" si="1"/>
        <v>0</v>
      </c>
    </row>
    <row r="90" spans="2:9">
      <c r="B90" s="23"/>
      <c r="C90" s="24"/>
      <c r="D90" s="21" t="e">
        <f>_xlfn.XLOOKUP(TabelaAporte[[#This Row],[ID]],Tabela1[[ID ]],Tabela1[Ativo])</f>
        <v>#N/A</v>
      </c>
      <c r="E90" s="23" t="e">
        <f>_xlfn.XLOOKUP(TabelaAporte[[#This Row],[ID]],Tabela1[[ID ]],Tabela1[[ TipoAtivo ]])</f>
        <v>#N/A</v>
      </c>
      <c r="F90" s="23" t="e">
        <f>_xlfn.XLOOKUP(TabelaAporte[[#This Row],[ID]],TabelaGeral[[ID ]],TabelaGeral[[ Setor Segmento]],)</f>
        <v>#N/A</v>
      </c>
      <c r="G90" s="30"/>
      <c r="H90" s="23"/>
      <c r="I90" s="29">
        <f t="shared" si="1"/>
        <v>0</v>
      </c>
    </row>
    <row r="91" spans="2:9">
      <c r="B91" s="23"/>
      <c r="C91" s="24"/>
      <c r="D91" s="21" t="e">
        <f>_xlfn.XLOOKUP(TabelaAporte[[#This Row],[ID]],Tabela1[[ID ]],Tabela1[Ativo])</f>
        <v>#N/A</v>
      </c>
      <c r="E91" s="23" t="e">
        <f>_xlfn.XLOOKUP(TabelaAporte[[#This Row],[ID]],Tabela1[[ID ]],Tabela1[[ TipoAtivo ]])</f>
        <v>#N/A</v>
      </c>
      <c r="F91" s="23" t="e">
        <f>_xlfn.XLOOKUP(TabelaAporte[[#This Row],[ID]],TabelaGeral[[ID ]],TabelaGeral[[ Setor Segmento]],)</f>
        <v>#N/A</v>
      </c>
      <c r="G91" s="30"/>
      <c r="H91" s="23"/>
      <c r="I91" s="29">
        <f t="shared" si="1"/>
        <v>0</v>
      </c>
    </row>
    <row r="92" spans="2:9">
      <c r="B92" s="23"/>
      <c r="C92" s="24"/>
      <c r="D92" s="21" t="e">
        <f>_xlfn.XLOOKUP(TabelaAporte[[#This Row],[ID]],Tabela1[[ID ]],Tabela1[Ativo])</f>
        <v>#N/A</v>
      </c>
      <c r="E92" s="23" t="e">
        <f>_xlfn.XLOOKUP(TabelaAporte[[#This Row],[ID]],Tabela1[[ID ]],Tabela1[[ TipoAtivo ]])</f>
        <v>#N/A</v>
      </c>
      <c r="F92" s="23" t="e">
        <f>_xlfn.XLOOKUP(TabelaAporte[[#This Row],[ID]],TabelaGeral[[ID ]],TabelaGeral[[ Setor Segmento]],)</f>
        <v>#N/A</v>
      </c>
      <c r="G92" s="30"/>
      <c r="H92" s="23"/>
      <c r="I92" s="29">
        <f t="shared" si="1"/>
        <v>0</v>
      </c>
    </row>
    <row r="93" spans="2:9">
      <c r="B93" s="23"/>
      <c r="C93" s="24"/>
      <c r="D93" s="21" t="e">
        <f>_xlfn.XLOOKUP(TabelaAporte[[#This Row],[ID]],Tabela1[[ID ]],Tabela1[Ativo])</f>
        <v>#N/A</v>
      </c>
      <c r="E93" s="23" t="e">
        <f>_xlfn.XLOOKUP(TabelaAporte[[#This Row],[ID]],Tabela1[[ID ]],Tabela1[[ TipoAtivo ]])</f>
        <v>#N/A</v>
      </c>
      <c r="F93" s="23" t="e">
        <f>_xlfn.XLOOKUP(TabelaAporte[[#This Row],[ID]],TabelaGeral[[ID ]],TabelaGeral[[ Setor Segmento]],)</f>
        <v>#N/A</v>
      </c>
      <c r="G93" s="30"/>
      <c r="H93" s="23"/>
      <c r="I93" s="29">
        <f t="shared" si="1"/>
        <v>0</v>
      </c>
    </row>
    <row r="94" spans="2:9">
      <c r="B94" s="23"/>
      <c r="C94" s="24"/>
      <c r="D94" s="21" t="e">
        <f>_xlfn.XLOOKUP(TabelaAporte[[#This Row],[ID]],Tabela1[[ID ]],Tabela1[Ativo])</f>
        <v>#N/A</v>
      </c>
      <c r="E94" s="23" t="e">
        <f>_xlfn.XLOOKUP(TabelaAporte[[#This Row],[ID]],Tabela1[[ID ]],Tabela1[[ TipoAtivo ]])</f>
        <v>#N/A</v>
      </c>
      <c r="F94" s="23" t="e">
        <f>_xlfn.XLOOKUP(TabelaAporte[[#This Row],[ID]],TabelaGeral[[ID ]],TabelaGeral[[ Setor Segmento]],)</f>
        <v>#N/A</v>
      </c>
      <c r="G94" s="30"/>
      <c r="H94" s="23"/>
      <c r="I94" s="29">
        <f t="shared" si="1"/>
        <v>0</v>
      </c>
    </row>
    <row r="95" spans="2:9">
      <c r="B95" s="23"/>
      <c r="C95" s="24"/>
      <c r="D95" s="21" t="e">
        <f>_xlfn.XLOOKUP(TabelaAporte[[#This Row],[ID]],Tabela1[[ID ]],Tabela1[Ativo])</f>
        <v>#N/A</v>
      </c>
      <c r="E95" s="23" t="e">
        <f>_xlfn.XLOOKUP(TabelaAporte[[#This Row],[ID]],Tabela1[[ID ]],Tabela1[[ TipoAtivo ]])</f>
        <v>#N/A</v>
      </c>
      <c r="F95" s="23" t="e">
        <f>_xlfn.XLOOKUP(TabelaAporte[[#This Row],[ID]],TabelaGeral[[ID ]],TabelaGeral[[ Setor Segmento]],)</f>
        <v>#N/A</v>
      </c>
      <c r="G95" s="30"/>
      <c r="H95" s="23"/>
      <c r="I95" s="29">
        <f t="shared" si="1"/>
        <v>0</v>
      </c>
    </row>
    <row r="96" spans="2:9">
      <c r="B96" s="23"/>
      <c r="C96" s="24"/>
      <c r="D96" s="21" t="e">
        <f>_xlfn.XLOOKUP(TabelaAporte[[#This Row],[ID]],Tabela1[[ID ]],Tabela1[Ativo])</f>
        <v>#N/A</v>
      </c>
      <c r="E96" s="23" t="e">
        <f>_xlfn.XLOOKUP(TabelaAporte[[#This Row],[ID]],Tabela1[[ID ]],Tabela1[[ TipoAtivo ]])</f>
        <v>#N/A</v>
      </c>
      <c r="F96" s="23" t="e">
        <f>_xlfn.XLOOKUP(TabelaAporte[[#This Row],[ID]],TabelaGeral[[ID ]],TabelaGeral[[ Setor Segmento]],)</f>
        <v>#N/A</v>
      </c>
      <c r="G96" s="30"/>
      <c r="H96" s="23"/>
      <c r="I96" s="29">
        <f t="shared" si="1"/>
        <v>0</v>
      </c>
    </row>
    <row r="97" spans="2:9">
      <c r="B97" s="23"/>
      <c r="C97" s="24"/>
      <c r="D97" s="21" t="e">
        <f>_xlfn.XLOOKUP(TabelaAporte[[#This Row],[ID]],Tabela1[[ID ]],Tabela1[Ativo])</f>
        <v>#N/A</v>
      </c>
      <c r="E97" s="23" t="e">
        <f>_xlfn.XLOOKUP(TabelaAporte[[#This Row],[ID]],Tabela1[[ID ]],Tabela1[[ TipoAtivo ]])</f>
        <v>#N/A</v>
      </c>
      <c r="F97" s="23" t="e">
        <f>_xlfn.XLOOKUP(TabelaAporte[[#This Row],[ID]],TabelaGeral[[ID ]],TabelaGeral[[ Setor Segmento]],)</f>
        <v>#N/A</v>
      </c>
      <c r="G97" s="30"/>
      <c r="H97" s="23"/>
      <c r="I97" s="29">
        <f t="shared" si="1"/>
        <v>0</v>
      </c>
    </row>
    <row r="98" spans="2:9">
      <c r="B98" s="23"/>
      <c r="C98" s="24"/>
      <c r="D98" s="21" t="e">
        <f>_xlfn.XLOOKUP(TabelaAporte[[#This Row],[ID]],Tabela1[[ID ]],Tabela1[Ativo])</f>
        <v>#N/A</v>
      </c>
      <c r="E98" s="23" t="e">
        <f>_xlfn.XLOOKUP(TabelaAporte[[#This Row],[ID]],Tabela1[[ID ]],Tabela1[[ TipoAtivo ]])</f>
        <v>#N/A</v>
      </c>
      <c r="F98" s="23" t="e">
        <f>_xlfn.XLOOKUP(TabelaAporte[[#This Row],[ID]],TabelaGeral[[ID ]],TabelaGeral[[ Setor Segmento]],)</f>
        <v>#N/A</v>
      </c>
      <c r="G98" s="30"/>
      <c r="H98" s="23"/>
      <c r="I98" s="29">
        <f t="shared" si="1"/>
        <v>0</v>
      </c>
    </row>
    <row r="99" spans="2:9">
      <c r="B99" s="23"/>
      <c r="C99" s="24"/>
      <c r="D99" s="21" t="e">
        <f>_xlfn.XLOOKUP(TabelaAporte[[#This Row],[ID]],Tabela1[[ID ]],Tabela1[Ativo])</f>
        <v>#N/A</v>
      </c>
      <c r="E99" s="23" t="e">
        <f>_xlfn.XLOOKUP(TabelaAporte[[#This Row],[ID]],Tabela1[[ID ]],Tabela1[[ TipoAtivo ]])</f>
        <v>#N/A</v>
      </c>
      <c r="F99" s="23" t="e">
        <f>_xlfn.XLOOKUP(TabelaAporte[[#This Row],[ID]],TabelaGeral[[ID ]],TabelaGeral[[ Setor Segmento]],)</f>
        <v>#N/A</v>
      </c>
      <c r="G99" s="30"/>
      <c r="H99" s="23"/>
      <c r="I99" s="29">
        <f t="shared" si="1"/>
        <v>0</v>
      </c>
    </row>
    <row r="100" spans="2:9">
      <c r="B100" s="23"/>
      <c r="C100" s="24"/>
      <c r="D100" s="21" t="e">
        <f>_xlfn.XLOOKUP(TabelaAporte[[#This Row],[ID]],Tabela1[[ID ]],Tabela1[Ativo])</f>
        <v>#N/A</v>
      </c>
      <c r="E100" s="23" t="e">
        <f>_xlfn.XLOOKUP(TabelaAporte[[#This Row],[ID]],Tabela1[[ID ]],Tabela1[[ TipoAtivo ]])</f>
        <v>#N/A</v>
      </c>
      <c r="F100" s="23" t="e">
        <f>_xlfn.XLOOKUP(TabelaAporte[[#This Row],[ID]],TabelaGeral[[ID ]],TabelaGeral[[ Setor Segmento]],)</f>
        <v>#N/A</v>
      </c>
      <c r="G100" s="30"/>
      <c r="H100" s="23"/>
      <c r="I100" s="29">
        <f t="shared" si="1"/>
        <v>0</v>
      </c>
    </row>
    <row r="101" spans="2:9">
      <c r="B101" s="23"/>
      <c r="C101" s="24"/>
      <c r="D101" s="21" t="e">
        <f>_xlfn.XLOOKUP(TabelaAporte[[#This Row],[ID]],Tabela1[[ID ]],Tabela1[Ativo])</f>
        <v>#N/A</v>
      </c>
      <c r="E101" s="23" t="e">
        <f>_xlfn.XLOOKUP(TabelaAporte[[#This Row],[ID]],Tabela1[[ID ]],Tabela1[[ TipoAtivo ]])</f>
        <v>#N/A</v>
      </c>
      <c r="F101" s="23" t="e">
        <f>_xlfn.XLOOKUP(TabelaAporte[[#This Row],[ID]],TabelaGeral[[ID ]],TabelaGeral[[ Setor Segmento]],)</f>
        <v>#N/A</v>
      </c>
      <c r="G101" s="30"/>
      <c r="H101" s="23"/>
      <c r="I101" s="29">
        <f t="shared" si="1"/>
        <v>0</v>
      </c>
    </row>
    <row r="102" spans="2:9">
      <c r="B102" s="23"/>
      <c r="C102" s="24"/>
      <c r="D102" s="21" t="e">
        <f>_xlfn.XLOOKUP(TabelaAporte[[#This Row],[ID]],Tabela1[[ID ]],Tabela1[Ativo])</f>
        <v>#N/A</v>
      </c>
      <c r="E102" s="23" t="e">
        <f>_xlfn.XLOOKUP(TabelaAporte[[#This Row],[ID]],Tabela1[[ID ]],Tabela1[[ TipoAtivo ]])</f>
        <v>#N/A</v>
      </c>
      <c r="F102" s="23" t="e">
        <f>_xlfn.XLOOKUP(TabelaAporte[[#This Row],[ID]],TabelaGeral[[ID ]],TabelaGeral[[ Setor Segmento]],)</f>
        <v>#N/A</v>
      </c>
      <c r="G102" s="30"/>
      <c r="H102" s="23"/>
      <c r="I102" s="29">
        <f t="shared" si="1"/>
        <v>0</v>
      </c>
    </row>
    <row r="103" spans="2:9">
      <c r="B103" s="23"/>
      <c r="C103" s="24"/>
      <c r="D103" s="21" t="e">
        <f>_xlfn.XLOOKUP(TabelaAporte[[#This Row],[ID]],Tabela1[[ID ]],Tabela1[Ativo])</f>
        <v>#N/A</v>
      </c>
      <c r="E103" s="23" t="e">
        <f>_xlfn.XLOOKUP(TabelaAporte[[#This Row],[ID]],Tabela1[[ID ]],Tabela1[[ TipoAtivo ]])</f>
        <v>#N/A</v>
      </c>
      <c r="F103" s="23" t="e">
        <f>_xlfn.XLOOKUP(TabelaAporte[[#This Row],[ID]],TabelaGeral[[ID ]],TabelaGeral[[ Setor Segmento]],)</f>
        <v>#N/A</v>
      </c>
      <c r="G103" s="30"/>
      <c r="H103" s="23"/>
      <c r="I103" s="29">
        <f t="shared" si="1"/>
        <v>0</v>
      </c>
    </row>
    <row r="104" spans="2:9">
      <c r="B104" s="23"/>
      <c r="C104" s="24"/>
      <c r="D104" s="21" t="e">
        <f>_xlfn.XLOOKUP(TabelaAporte[[#This Row],[ID]],Tabela1[[ID ]],Tabela1[Ativo])</f>
        <v>#N/A</v>
      </c>
      <c r="E104" s="23" t="e">
        <f>_xlfn.XLOOKUP(TabelaAporte[[#This Row],[ID]],Tabela1[[ID ]],Tabela1[[ TipoAtivo ]])</f>
        <v>#N/A</v>
      </c>
      <c r="F104" s="23" t="e">
        <f>_xlfn.XLOOKUP(TabelaAporte[[#This Row],[ID]],TabelaGeral[[ID ]],TabelaGeral[[ Setor Segmento]],)</f>
        <v>#N/A</v>
      </c>
      <c r="G104" s="30"/>
      <c r="H104" s="23"/>
      <c r="I104" s="29">
        <f t="shared" si="1"/>
        <v>0</v>
      </c>
    </row>
    <row r="105" spans="2:9">
      <c r="B105" s="23"/>
      <c r="C105" s="24"/>
      <c r="D105" s="21" t="e">
        <f>_xlfn.XLOOKUP(TabelaAporte[[#This Row],[ID]],Tabela1[[ID ]],Tabela1[Ativo])</f>
        <v>#N/A</v>
      </c>
      <c r="E105" s="23" t="e">
        <f>_xlfn.XLOOKUP(TabelaAporte[[#This Row],[ID]],Tabela1[[ID ]],Tabela1[[ TipoAtivo ]])</f>
        <v>#N/A</v>
      </c>
      <c r="F105" s="23" t="e">
        <f>_xlfn.XLOOKUP(TabelaAporte[[#This Row],[ID]],TabelaGeral[[ID ]],TabelaGeral[[ Setor Segmento]],)</f>
        <v>#N/A</v>
      </c>
      <c r="G105" s="30"/>
      <c r="H105" s="23"/>
      <c r="I105" s="29">
        <f t="shared" si="1"/>
        <v>0</v>
      </c>
    </row>
    <row r="106" spans="2:9">
      <c r="B106" s="23"/>
      <c r="C106" s="24"/>
      <c r="D106" s="21" t="e">
        <f>_xlfn.XLOOKUP(TabelaAporte[[#This Row],[ID]],Tabela1[[ID ]],Tabela1[Ativo])</f>
        <v>#N/A</v>
      </c>
      <c r="E106" s="23" t="e">
        <f>_xlfn.XLOOKUP(TabelaAporte[[#This Row],[ID]],Tabela1[[ID ]],Tabela1[[ TipoAtivo ]])</f>
        <v>#N/A</v>
      </c>
      <c r="F106" s="23" t="e">
        <f>_xlfn.XLOOKUP(TabelaAporte[[#This Row],[ID]],TabelaGeral[[ID ]],TabelaGeral[[ Setor Segmento]],)</f>
        <v>#N/A</v>
      </c>
      <c r="G106" s="30"/>
      <c r="H106" s="23"/>
      <c r="I106" s="29">
        <f t="shared" si="1"/>
        <v>0</v>
      </c>
    </row>
    <row r="107" spans="2:9">
      <c r="B107" s="23"/>
      <c r="C107" s="24"/>
      <c r="D107" s="21" t="e">
        <f>_xlfn.XLOOKUP(TabelaAporte[[#This Row],[ID]],Tabela1[[ID ]],Tabela1[Ativo])</f>
        <v>#N/A</v>
      </c>
      <c r="E107" s="23" t="e">
        <f>_xlfn.XLOOKUP(TabelaAporte[[#This Row],[ID]],Tabela1[[ID ]],Tabela1[[ TipoAtivo ]])</f>
        <v>#N/A</v>
      </c>
      <c r="F107" s="23" t="e">
        <f>_xlfn.XLOOKUP(TabelaAporte[[#This Row],[ID]],TabelaGeral[[ID ]],TabelaGeral[[ Setor Segmento]],)</f>
        <v>#N/A</v>
      </c>
      <c r="G107" s="30"/>
      <c r="H107" s="23"/>
      <c r="I107" s="29">
        <f t="shared" si="1"/>
        <v>0</v>
      </c>
    </row>
    <row r="108" spans="2:9">
      <c r="B108" s="23"/>
      <c r="C108" s="24"/>
      <c r="D108" s="21" t="e">
        <f>_xlfn.XLOOKUP(TabelaAporte[[#This Row],[ID]],Tabela1[[ID ]],Tabela1[Ativo])</f>
        <v>#N/A</v>
      </c>
      <c r="E108" s="23" t="e">
        <f>_xlfn.XLOOKUP(TabelaAporte[[#This Row],[ID]],Tabela1[[ID ]],Tabela1[[ TipoAtivo ]])</f>
        <v>#N/A</v>
      </c>
      <c r="F108" s="23" t="e">
        <f>_xlfn.XLOOKUP(TabelaAporte[[#This Row],[ID]],TabelaGeral[[ID ]],TabelaGeral[[ Setor Segmento]],)</f>
        <v>#N/A</v>
      </c>
      <c r="G108" s="30"/>
      <c r="H108" s="23"/>
      <c r="I108" s="29">
        <f t="shared" si="1"/>
        <v>0</v>
      </c>
    </row>
    <row r="109" spans="2:9">
      <c r="B109" s="23"/>
      <c r="C109" s="24"/>
      <c r="D109" s="21" t="e">
        <f>_xlfn.XLOOKUP(TabelaAporte[[#This Row],[ID]],Tabela1[[ID ]],Tabela1[Ativo])</f>
        <v>#N/A</v>
      </c>
      <c r="E109" s="23" t="e">
        <f>_xlfn.XLOOKUP(TabelaAporte[[#This Row],[ID]],Tabela1[[ID ]],Tabela1[[ TipoAtivo ]])</f>
        <v>#N/A</v>
      </c>
      <c r="F109" s="23" t="e">
        <f>_xlfn.XLOOKUP(TabelaAporte[[#This Row],[ID]],TabelaGeral[[ID ]],TabelaGeral[[ Setor Segmento]],)</f>
        <v>#N/A</v>
      </c>
      <c r="G109" s="30"/>
      <c r="H109" s="23"/>
      <c r="I109" s="29">
        <f t="shared" si="1"/>
        <v>0</v>
      </c>
    </row>
    <row r="110" spans="2:9">
      <c r="B110" s="23"/>
      <c r="C110" s="24"/>
      <c r="D110" s="21" t="e">
        <f>_xlfn.XLOOKUP(TabelaAporte[[#This Row],[ID]],Tabela1[[ID ]],Tabela1[Ativo])</f>
        <v>#N/A</v>
      </c>
      <c r="E110" s="23" t="e">
        <f>_xlfn.XLOOKUP(TabelaAporte[[#This Row],[ID]],Tabela1[[ID ]],Tabela1[[ TipoAtivo ]])</f>
        <v>#N/A</v>
      </c>
      <c r="F110" s="23" t="e">
        <f>_xlfn.XLOOKUP(TabelaAporte[[#This Row],[ID]],TabelaGeral[[ID ]],TabelaGeral[[ Setor Segmento]],)</f>
        <v>#N/A</v>
      </c>
      <c r="G110" s="30"/>
      <c r="H110" s="23"/>
      <c r="I110" s="29">
        <f t="shared" si="1"/>
        <v>0</v>
      </c>
    </row>
    <row r="111" spans="2:9">
      <c r="B111" s="23"/>
      <c r="C111" s="24"/>
      <c r="D111" s="21" t="e">
        <f>_xlfn.XLOOKUP(TabelaAporte[[#This Row],[ID]],Tabela1[[ID ]],Tabela1[Ativo])</f>
        <v>#N/A</v>
      </c>
      <c r="E111" s="23" t="e">
        <f>_xlfn.XLOOKUP(TabelaAporte[[#This Row],[ID]],Tabela1[[ID ]],Tabela1[[ TipoAtivo ]])</f>
        <v>#N/A</v>
      </c>
      <c r="F111" s="23" t="e">
        <f>_xlfn.XLOOKUP(TabelaAporte[[#This Row],[ID]],TabelaGeral[[ID ]],TabelaGeral[[ Setor Segmento]],)</f>
        <v>#N/A</v>
      </c>
      <c r="G111" s="30"/>
      <c r="H111" s="23"/>
      <c r="I111" s="29">
        <f t="shared" si="1"/>
        <v>0</v>
      </c>
    </row>
    <row r="112" spans="2:9">
      <c r="B112" s="23"/>
      <c r="C112" s="24"/>
      <c r="D112" s="21" t="e">
        <f>_xlfn.XLOOKUP(TabelaAporte[[#This Row],[ID]],Tabela1[[ID ]],Tabela1[Ativo])</f>
        <v>#N/A</v>
      </c>
      <c r="E112" s="23" t="e">
        <f>_xlfn.XLOOKUP(TabelaAporte[[#This Row],[ID]],Tabela1[[ID ]],Tabela1[[ TipoAtivo ]])</f>
        <v>#N/A</v>
      </c>
      <c r="F112" s="23" t="e">
        <f>_xlfn.XLOOKUP(TabelaAporte[[#This Row],[ID]],TabelaGeral[[ID ]],TabelaGeral[[ Setor Segmento]],)</f>
        <v>#N/A</v>
      </c>
      <c r="G112" s="30"/>
      <c r="H112" s="23"/>
      <c r="I112" s="29">
        <f t="shared" si="1"/>
        <v>0</v>
      </c>
    </row>
    <row r="113" spans="2:9">
      <c r="B113" s="23"/>
      <c r="C113" s="24"/>
      <c r="D113" s="21" t="e">
        <f>_xlfn.XLOOKUP(TabelaAporte[[#This Row],[ID]],Tabela1[[ID ]],Tabela1[Ativo])</f>
        <v>#N/A</v>
      </c>
      <c r="E113" s="23" t="e">
        <f>_xlfn.XLOOKUP(TabelaAporte[[#This Row],[ID]],Tabela1[[ID ]],Tabela1[[ TipoAtivo ]])</f>
        <v>#N/A</v>
      </c>
      <c r="F113" s="23" t="e">
        <f>_xlfn.XLOOKUP(TabelaAporte[[#This Row],[ID]],TabelaGeral[[ID ]],TabelaGeral[[ Setor Segmento]],)</f>
        <v>#N/A</v>
      </c>
      <c r="G113" s="30"/>
      <c r="H113" s="23"/>
      <c r="I113" s="29">
        <f t="shared" si="1"/>
        <v>0</v>
      </c>
    </row>
    <row r="114" spans="2:9">
      <c r="B114" s="23"/>
      <c r="C114" s="24"/>
      <c r="D114" s="21" t="e">
        <f>_xlfn.XLOOKUP(TabelaAporte[[#This Row],[ID]],Tabela1[[ID ]],Tabela1[Ativo])</f>
        <v>#N/A</v>
      </c>
      <c r="E114" s="23" t="e">
        <f>_xlfn.XLOOKUP(TabelaAporte[[#This Row],[ID]],Tabela1[[ID ]],Tabela1[[ TipoAtivo ]])</f>
        <v>#N/A</v>
      </c>
      <c r="F114" s="23" t="e">
        <f>_xlfn.XLOOKUP(TabelaAporte[[#This Row],[ID]],TabelaGeral[[ID ]],TabelaGeral[[ Setor Segmento]],)</f>
        <v>#N/A</v>
      </c>
      <c r="G114" s="30"/>
      <c r="H114" s="23"/>
      <c r="I114" s="29">
        <f t="shared" si="1"/>
        <v>0</v>
      </c>
    </row>
    <row r="115" spans="2:9">
      <c r="B115" s="23"/>
      <c r="C115" s="24"/>
      <c r="D115" s="21" t="e">
        <f>_xlfn.XLOOKUP(TabelaAporte[[#This Row],[ID]],Tabela1[[ID ]],Tabela1[Ativo])</f>
        <v>#N/A</v>
      </c>
      <c r="E115" s="23" t="e">
        <f>_xlfn.XLOOKUP(TabelaAporte[[#This Row],[ID]],Tabela1[[ID ]],Tabela1[[ TipoAtivo ]])</f>
        <v>#N/A</v>
      </c>
      <c r="F115" s="23" t="e">
        <f>_xlfn.XLOOKUP(TabelaAporte[[#This Row],[ID]],TabelaGeral[[ID ]],TabelaGeral[[ Setor Segmento]],)</f>
        <v>#N/A</v>
      </c>
      <c r="G115" s="30"/>
      <c r="H115" s="23"/>
      <c r="I115" s="29">
        <f t="shared" si="1"/>
        <v>0</v>
      </c>
    </row>
    <row r="116" spans="2:9">
      <c r="B116" s="23"/>
      <c r="C116" s="24"/>
      <c r="D116" s="21" t="e">
        <f>_xlfn.XLOOKUP(TabelaAporte[[#This Row],[ID]],Tabela1[[ID ]],Tabela1[Ativo])</f>
        <v>#N/A</v>
      </c>
      <c r="E116" s="23" t="e">
        <f>_xlfn.XLOOKUP(TabelaAporte[[#This Row],[ID]],Tabela1[[ID ]],Tabela1[[ TipoAtivo ]])</f>
        <v>#N/A</v>
      </c>
      <c r="F116" s="23" t="e">
        <f>_xlfn.XLOOKUP(TabelaAporte[[#This Row],[ID]],TabelaGeral[[ID ]],TabelaGeral[[ Setor Segmento]],)</f>
        <v>#N/A</v>
      </c>
      <c r="G116" s="30"/>
      <c r="H116" s="23"/>
      <c r="I116" s="29">
        <f t="shared" si="1"/>
        <v>0</v>
      </c>
    </row>
    <row r="117" spans="2:9">
      <c r="B117" s="23"/>
      <c r="C117" s="24"/>
      <c r="D117" s="21" t="e">
        <f>_xlfn.XLOOKUP(TabelaAporte[[#This Row],[ID]],Tabela1[[ID ]],Tabela1[Ativo])</f>
        <v>#N/A</v>
      </c>
      <c r="E117" s="23" t="e">
        <f>_xlfn.XLOOKUP(TabelaAporte[[#This Row],[ID]],Tabela1[[ID ]],Tabela1[[ TipoAtivo ]])</f>
        <v>#N/A</v>
      </c>
      <c r="F117" s="23" t="e">
        <f>_xlfn.XLOOKUP(TabelaAporte[[#This Row],[ID]],TabelaGeral[[ID ]],TabelaGeral[[ Setor Segmento]],)</f>
        <v>#N/A</v>
      </c>
      <c r="G117" s="30"/>
      <c r="H117" s="23"/>
      <c r="I117" s="29">
        <f t="shared" si="1"/>
        <v>0</v>
      </c>
    </row>
    <row r="118" spans="2:9">
      <c r="B118" s="23"/>
      <c r="C118" s="24"/>
      <c r="D118" s="21" t="e">
        <f>_xlfn.XLOOKUP(TabelaAporte[[#This Row],[ID]],Tabela1[[ID ]],Tabela1[Ativo])</f>
        <v>#N/A</v>
      </c>
      <c r="E118" s="23" t="e">
        <f>_xlfn.XLOOKUP(TabelaAporte[[#This Row],[ID]],Tabela1[[ID ]],Tabela1[[ TipoAtivo ]])</f>
        <v>#N/A</v>
      </c>
      <c r="F118" s="23" t="e">
        <f>_xlfn.XLOOKUP(TabelaAporte[[#This Row],[ID]],TabelaGeral[[ID ]],TabelaGeral[[ Setor Segmento]],)</f>
        <v>#N/A</v>
      </c>
      <c r="G118" s="30"/>
      <c r="H118" s="23"/>
      <c r="I118" s="29">
        <f t="shared" si="1"/>
        <v>0</v>
      </c>
    </row>
    <row r="119" spans="2:9">
      <c r="B119" s="23"/>
      <c r="C119" s="24"/>
      <c r="D119" s="21" t="e">
        <f>_xlfn.XLOOKUP(TabelaAporte[[#This Row],[ID]],Tabela1[[ID ]],Tabela1[Ativo])</f>
        <v>#N/A</v>
      </c>
      <c r="E119" s="23" t="e">
        <f>_xlfn.XLOOKUP(TabelaAporte[[#This Row],[ID]],Tabela1[[ID ]],Tabela1[[ TipoAtivo ]])</f>
        <v>#N/A</v>
      </c>
      <c r="F119" s="23" t="e">
        <f>_xlfn.XLOOKUP(TabelaAporte[[#This Row],[ID]],TabelaGeral[[ID ]],TabelaGeral[[ Setor Segmento]],)</f>
        <v>#N/A</v>
      </c>
      <c r="G119" s="30"/>
      <c r="H119" s="23"/>
      <c r="I119" s="29">
        <f t="shared" si="1"/>
        <v>0</v>
      </c>
    </row>
    <row r="120" spans="2:9">
      <c r="B120" s="23"/>
      <c r="C120" s="24"/>
      <c r="D120" s="21" t="e">
        <f>_xlfn.XLOOKUP(TabelaAporte[[#This Row],[ID]],Tabela1[[ID ]],Tabela1[Ativo])</f>
        <v>#N/A</v>
      </c>
      <c r="E120" s="23" t="e">
        <f>_xlfn.XLOOKUP(TabelaAporte[[#This Row],[ID]],Tabela1[[ID ]],Tabela1[[ TipoAtivo ]])</f>
        <v>#N/A</v>
      </c>
      <c r="F120" s="23" t="e">
        <f>_xlfn.XLOOKUP(TabelaAporte[[#This Row],[ID]],TabelaGeral[[ID ]],TabelaGeral[[ Setor Segmento]],)</f>
        <v>#N/A</v>
      </c>
      <c r="G120" s="30"/>
      <c r="H120" s="23"/>
      <c r="I120" s="29">
        <f t="shared" si="1"/>
        <v>0</v>
      </c>
    </row>
    <row r="121" spans="2:9">
      <c r="B121" s="23"/>
      <c r="C121" s="24"/>
      <c r="D121" s="21" t="e">
        <f>_xlfn.XLOOKUP(TabelaAporte[[#This Row],[ID]],Tabela1[[ID ]],Tabela1[Ativo])</f>
        <v>#N/A</v>
      </c>
      <c r="E121" s="23" t="e">
        <f>_xlfn.XLOOKUP(TabelaAporte[[#This Row],[ID]],Tabela1[[ID ]],Tabela1[[ TipoAtivo ]])</f>
        <v>#N/A</v>
      </c>
      <c r="F121" s="23" t="e">
        <f>_xlfn.XLOOKUP(TabelaAporte[[#This Row],[ID]],TabelaGeral[[ID ]],TabelaGeral[[ Setor Segmento]],)</f>
        <v>#N/A</v>
      </c>
      <c r="G121" s="30"/>
      <c r="H121" s="23"/>
      <c r="I121" s="29">
        <f t="shared" si="1"/>
        <v>0</v>
      </c>
    </row>
    <row r="122" spans="2:9">
      <c r="B122" s="23"/>
      <c r="C122" s="24"/>
      <c r="D122" s="21" t="e">
        <f>_xlfn.XLOOKUP(TabelaAporte[[#This Row],[ID]],Tabela1[[ID ]],Tabela1[Ativo])</f>
        <v>#N/A</v>
      </c>
      <c r="E122" s="23" t="e">
        <f>_xlfn.XLOOKUP(TabelaAporte[[#This Row],[ID]],Tabela1[[ID ]],Tabela1[[ TipoAtivo ]])</f>
        <v>#N/A</v>
      </c>
      <c r="F122" s="23" t="e">
        <f>_xlfn.XLOOKUP(TabelaAporte[[#This Row],[ID]],TabelaGeral[[ID ]],TabelaGeral[[ Setor Segmento]],)</f>
        <v>#N/A</v>
      </c>
      <c r="G122" s="30"/>
      <c r="H122" s="23"/>
      <c r="I122" s="29">
        <f t="shared" si="1"/>
        <v>0</v>
      </c>
    </row>
    <row r="123" spans="2:9">
      <c r="B123" s="23"/>
      <c r="C123" s="24"/>
      <c r="D123" s="21" t="e">
        <f>_xlfn.XLOOKUP(TabelaAporte[[#This Row],[ID]],Tabela1[[ID ]],Tabela1[Ativo])</f>
        <v>#N/A</v>
      </c>
      <c r="E123" s="23" t="e">
        <f>_xlfn.XLOOKUP(TabelaAporte[[#This Row],[ID]],Tabela1[[ID ]],Tabela1[[ TipoAtivo ]])</f>
        <v>#N/A</v>
      </c>
      <c r="F123" s="23" t="e">
        <f>_xlfn.XLOOKUP(TabelaAporte[[#This Row],[ID]],TabelaGeral[[ID ]],TabelaGeral[[ Setor Segmento]],)</f>
        <v>#N/A</v>
      </c>
      <c r="G123" s="30"/>
      <c r="H123" s="23"/>
      <c r="I123" s="29">
        <f t="shared" si="1"/>
        <v>0</v>
      </c>
    </row>
    <row r="124" spans="2:9">
      <c r="B124" s="23"/>
      <c r="C124" s="24"/>
      <c r="D124" s="21" t="e">
        <f>_xlfn.XLOOKUP(TabelaAporte[[#This Row],[ID]],Tabela1[[ID ]],Tabela1[Ativo])</f>
        <v>#N/A</v>
      </c>
      <c r="E124" s="23" t="e">
        <f>_xlfn.XLOOKUP(TabelaAporte[[#This Row],[ID]],Tabela1[[ID ]],Tabela1[[ TipoAtivo ]])</f>
        <v>#N/A</v>
      </c>
      <c r="F124" s="23" t="e">
        <f>_xlfn.XLOOKUP(TabelaAporte[[#This Row],[ID]],TabelaGeral[[ID ]],TabelaGeral[[ Setor Segmento]],)</f>
        <v>#N/A</v>
      </c>
      <c r="G124" s="30"/>
      <c r="H124" s="23"/>
      <c r="I124" s="29">
        <f t="shared" si="1"/>
        <v>0</v>
      </c>
    </row>
    <row r="125" spans="2:9">
      <c r="B125" s="23"/>
      <c r="C125" s="24"/>
      <c r="D125" s="21" t="e">
        <f>_xlfn.XLOOKUP(TabelaAporte[[#This Row],[ID]],Tabela1[[ID ]],Tabela1[Ativo])</f>
        <v>#N/A</v>
      </c>
      <c r="E125" s="23" t="e">
        <f>_xlfn.XLOOKUP(TabelaAporte[[#This Row],[ID]],Tabela1[[ID ]],Tabela1[[ TipoAtivo ]])</f>
        <v>#N/A</v>
      </c>
      <c r="F125" s="23" t="e">
        <f>_xlfn.XLOOKUP(TabelaAporte[[#This Row],[ID]],TabelaGeral[[ID ]],TabelaGeral[[ Setor Segmento]],)</f>
        <v>#N/A</v>
      </c>
      <c r="G125" s="30"/>
      <c r="H125" s="23"/>
      <c r="I125" s="29">
        <f t="shared" si="1"/>
        <v>0</v>
      </c>
    </row>
    <row r="126" spans="2:9">
      <c r="B126" s="23"/>
      <c r="C126" s="24"/>
      <c r="D126" s="21" t="e">
        <f>_xlfn.XLOOKUP(TabelaAporte[[#This Row],[ID]],Tabela1[[ID ]],Tabela1[Ativo])</f>
        <v>#N/A</v>
      </c>
      <c r="E126" s="23" t="e">
        <f>_xlfn.XLOOKUP(TabelaAporte[[#This Row],[ID]],Tabela1[[ID ]],Tabela1[[ TipoAtivo ]])</f>
        <v>#N/A</v>
      </c>
      <c r="F126" s="23" t="e">
        <f>_xlfn.XLOOKUP(TabelaAporte[[#This Row],[ID]],TabelaGeral[[ID ]],TabelaGeral[[ Setor Segmento]],)</f>
        <v>#N/A</v>
      </c>
      <c r="G126" s="30"/>
      <c r="H126" s="23"/>
      <c r="I126" s="29">
        <f t="shared" si="1"/>
        <v>0</v>
      </c>
    </row>
    <row r="127" spans="2:9">
      <c r="B127" s="23"/>
      <c r="C127" s="24"/>
      <c r="D127" s="21" t="e">
        <f>_xlfn.XLOOKUP(TabelaAporte[[#This Row],[ID]],Tabela1[[ID ]],Tabela1[Ativo])</f>
        <v>#N/A</v>
      </c>
      <c r="E127" s="23" t="e">
        <f>_xlfn.XLOOKUP(TabelaAporte[[#This Row],[ID]],Tabela1[[ID ]],Tabela1[[ TipoAtivo ]])</f>
        <v>#N/A</v>
      </c>
      <c r="F127" s="23" t="e">
        <f>_xlfn.XLOOKUP(TabelaAporte[[#This Row],[ID]],TabelaGeral[[ID ]],TabelaGeral[[ Setor Segmento]],)</f>
        <v>#N/A</v>
      </c>
      <c r="G127" s="30"/>
      <c r="H127" s="23"/>
      <c r="I127" s="29">
        <f t="shared" si="1"/>
        <v>0</v>
      </c>
    </row>
    <row r="128" spans="2:9">
      <c r="B128" s="23"/>
      <c r="C128" s="24"/>
      <c r="D128" s="21" t="e">
        <f>_xlfn.XLOOKUP(TabelaAporte[[#This Row],[ID]],Tabela1[[ID ]],Tabela1[Ativo])</f>
        <v>#N/A</v>
      </c>
      <c r="E128" s="23" t="e">
        <f>_xlfn.XLOOKUP(TabelaAporte[[#This Row],[ID]],Tabela1[[ID ]],Tabela1[[ TipoAtivo ]])</f>
        <v>#N/A</v>
      </c>
      <c r="F128" s="23" t="e">
        <f>_xlfn.XLOOKUP(TabelaAporte[[#This Row],[ID]],TabelaGeral[[ID ]],TabelaGeral[[ Setor Segmento]],)</f>
        <v>#N/A</v>
      </c>
      <c r="G128" s="30"/>
      <c r="H128" s="23"/>
      <c r="I128" s="29">
        <f t="shared" si="1"/>
        <v>0</v>
      </c>
    </row>
    <row r="129" spans="2:9">
      <c r="B129" s="23"/>
      <c r="C129" s="24"/>
      <c r="D129" s="21" t="e">
        <f>_xlfn.XLOOKUP(TabelaAporte[[#This Row],[ID]],Tabela1[[ID ]],Tabela1[Ativo])</f>
        <v>#N/A</v>
      </c>
      <c r="E129" s="23" t="e">
        <f>_xlfn.XLOOKUP(TabelaAporte[[#This Row],[ID]],Tabela1[[ID ]],Tabela1[[ TipoAtivo ]])</f>
        <v>#N/A</v>
      </c>
      <c r="F129" s="23" t="e">
        <f>_xlfn.XLOOKUP(TabelaAporte[[#This Row],[ID]],TabelaGeral[[ID ]],TabelaGeral[[ Setor Segmento]],)</f>
        <v>#N/A</v>
      </c>
      <c r="G129" s="30"/>
      <c r="H129" s="23"/>
      <c r="I129" s="29">
        <f t="shared" si="1"/>
        <v>0</v>
      </c>
    </row>
    <row r="130" spans="2:9">
      <c r="B130" s="23"/>
      <c r="C130" s="24"/>
      <c r="D130" s="21" t="e">
        <f>_xlfn.XLOOKUP(TabelaAporte[[#This Row],[ID]],Tabela1[[ID ]],Tabela1[Ativo])</f>
        <v>#N/A</v>
      </c>
      <c r="E130" s="23" t="e">
        <f>_xlfn.XLOOKUP(TabelaAporte[[#This Row],[ID]],Tabela1[[ID ]],Tabela1[[ TipoAtivo ]])</f>
        <v>#N/A</v>
      </c>
      <c r="F130" s="23" t="e">
        <f>_xlfn.XLOOKUP(TabelaAporte[[#This Row],[ID]],TabelaGeral[[ID ]],TabelaGeral[[ Setor Segmento]],)</f>
        <v>#N/A</v>
      </c>
      <c r="G130" s="30"/>
      <c r="H130" s="23"/>
      <c r="I130" s="29">
        <f t="shared" si="1"/>
        <v>0</v>
      </c>
    </row>
    <row r="131" spans="2:9">
      <c r="B131" s="23"/>
      <c r="C131" s="24"/>
      <c r="D131" s="21" t="e">
        <f>_xlfn.XLOOKUP(TabelaAporte[[#This Row],[ID]],Tabela1[[ID ]],Tabela1[Ativo])</f>
        <v>#N/A</v>
      </c>
      <c r="E131" s="23" t="e">
        <f>_xlfn.XLOOKUP(TabelaAporte[[#This Row],[ID]],Tabela1[[ID ]],Tabela1[[ TipoAtivo ]])</f>
        <v>#N/A</v>
      </c>
      <c r="F131" s="23" t="e">
        <f>_xlfn.XLOOKUP(TabelaAporte[[#This Row],[ID]],TabelaGeral[[ID ]],TabelaGeral[[ Setor Segmento]],)</f>
        <v>#N/A</v>
      </c>
      <c r="G131" s="30"/>
      <c r="H131" s="23"/>
      <c r="I131" s="29">
        <f t="shared" ref="I131:I194" si="2">H131*G131</f>
        <v>0</v>
      </c>
    </row>
    <row r="132" spans="2:9">
      <c r="B132" s="23"/>
      <c r="C132" s="24"/>
      <c r="D132" s="21" t="e">
        <f>_xlfn.XLOOKUP(TabelaAporte[[#This Row],[ID]],Tabela1[[ID ]],Tabela1[Ativo])</f>
        <v>#N/A</v>
      </c>
      <c r="E132" s="23" t="e">
        <f>_xlfn.XLOOKUP(TabelaAporte[[#This Row],[ID]],Tabela1[[ID ]],Tabela1[[ TipoAtivo ]])</f>
        <v>#N/A</v>
      </c>
      <c r="F132" s="23" t="e">
        <f>_xlfn.XLOOKUP(TabelaAporte[[#This Row],[ID]],TabelaGeral[[ID ]],TabelaGeral[[ Setor Segmento]],)</f>
        <v>#N/A</v>
      </c>
      <c r="G132" s="30"/>
      <c r="H132" s="23"/>
      <c r="I132" s="29">
        <f t="shared" si="2"/>
        <v>0</v>
      </c>
    </row>
    <row r="133" spans="2:9">
      <c r="B133" s="23"/>
      <c r="C133" s="24"/>
      <c r="D133" s="21" t="e">
        <f>_xlfn.XLOOKUP(TabelaAporte[[#This Row],[ID]],Tabela1[[ID ]],Tabela1[Ativo])</f>
        <v>#N/A</v>
      </c>
      <c r="E133" s="23" t="e">
        <f>_xlfn.XLOOKUP(TabelaAporte[[#This Row],[ID]],Tabela1[[ID ]],Tabela1[[ TipoAtivo ]])</f>
        <v>#N/A</v>
      </c>
      <c r="F133" s="23" t="e">
        <f>_xlfn.XLOOKUP(TabelaAporte[[#This Row],[ID]],TabelaGeral[[ID ]],TabelaGeral[[ Setor Segmento]],)</f>
        <v>#N/A</v>
      </c>
      <c r="G133" s="30"/>
      <c r="H133" s="23"/>
      <c r="I133" s="29">
        <f t="shared" si="2"/>
        <v>0</v>
      </c>
    </row>
    <row r="134" spans="2:9">
      <c r="B134" s="23"/>
      <c r="C134" s="24"/>
      <c r="D134" s="21" t="e">
        <f>_xlfn.XLOOKUP(TabelaAporte[[#This Row],[ID]],Tabela1[[ID ]],Tabela1[Ativo])</f>
        <v>#N/A</v>
      </c>
      <c r="E134" s="23" t="e">
        <f>_xlfn.XLOOKUP(TabelaAporte[[#This Row],[ID]],Tabela1[[ID ]],Tabela1[[ TipoAtivo ]])</f>
        <v>#N/A</v>
      </c>
      <c r="F134" s="23" t="e">
        <f>_xlfn.XLOOKUP(TabelaAporte[[#This Row],[ID]],TabelaGeral[[ID ]],TabelaGeral[[ Setor Segmento]],)</f>
        <v>#N/A</v>
      </c>
      <c r="G134" s="30"/>
      <c r="H134" s="23"/>
      <c r="I134" s="29">
        <f t="shared" si="2"/>
        <v>0</v>
      </c>
    </row>
    <row r="135" spans="2:9">
      <c r="B135" s="23"/>
      <c r="C135" s="24"/>
      <c r="D135" s="21" t="e">
        <f>_xlfn.XLOOKUP(TabelaAporte[[#This Row],[ID]],Tabela1[[ID ]],Tabela1[Ativo])</f>
        <v>#N/A</v>
      </c>
      <c r="E135" s="23" t="e">
        <f>_xlfn.XLOOKUP(TabelaAporte[[#This Row],[ID]],Tabela1[[ID ]],Tabela1[[ TipoAtivo ]])</f>
        <v>#N/A</v>
      </c>
      <c r="F135" s="23" t="e">
        <f>_xlfn.XLOOKUP(TabelaAporte[[#This Row],[ID]],TabelaGeral[[ID ]],TabelaGeral[[ Setor Segmento]],)</f>
        <v>#N/A</v>
      </c>
      <c r="G135" s="30"/>
      <c r="H135" s="23"/>
      <c r="I135" s="29">
        <f t="shared" si="2"/>
        <v>0</v>
      </c>
    </row>
    <row r="136" spans="2:9">
      <c r="B136" s="23"/>
      <c r="C136" s="24"/>
      <c r="D136" s="21" t="e">
        <f>_xlfn.XLOOKUP(TabelaAporte[[#This Row],[ID]],Tabela1[[ID ]],Tabela1[Ativo])</f>
        <v>#N/A</v>
      </c>
      <c r="E136" s="23" t="e">
        <f>_xlfn.XLOOKUP(TabelaAporte[[#This Row],[ID]],Tabela1[[ID ]],Tabela1[[ TipoAtivo ]])</f>
        <v>#N/A</v>
      </c>
      <c r="F136" s="23" t="e">
        <f>_xlfn.XLOOKUP(TabelaAporte[[#This Row],[ID]],TabelaGeral[[ID ]],TabelaGeral[[ Setor Segmento]],)</f>
        <v>#N/A</v>
      </c>
      <c r="G136" s="30"/>
      <c r="H136" s="23"/>
      <c r="I136" s="29">
        <f t="shared" si="2"/>
        <v>0</v>
      </c>
    </row>
    <row r="137" spans="2:9">
      <c r="B137" s="23"/>
      <c r="C137" s="24"/>
      <c r="D137" s="21" t="e">
        <f>_xlfn.XLOOKUP(TabelaAporte[[#This Row],[ID]],Tabela1[[ID ]],Tabela1[Ativo])</f>
        <v>#N/A</v>
      </c>
      <c r="E137" s="23" t="e">
        <f>_xlfn.XLOOKUP(TabelaAporte[[#This Row],[ID]],Tabela1[[ID ]],Tabela1[[ TipoAtivo ]])</f>
        <v>#N/A</v>
      </c>
      <c r="F137" s="23" t="e">
        <f>_xlfn.XLOOKUP(TabelaAporte[[#This Row],[ID]],TabelaGeral[[ID ]],TabelaGeral[[ Setor Segmento]],)</f>
        <v>#N/A</v>
      </c>
      <c r="G137" s="30"/>
      <c r="H137" s="23"/>
      <c r="I137" s="29">
        <f t="shared" si="2"/>
        <v>0</v>
      </c>
    </row>
    <row r="138" spans="2:9">
      <c r="B138" s="23"/>
      <c r="C138" s="24"/>
      <c r="D138" s="21" t="e">
        <f>_xlfn.XLOOKUP(TabelaAporte[[#This Row],[ID]],Tabela1[[ID ]],Tabela1[Ativo])</f>
        <v>#N/A</v>
      </c>
      <c r="E138" s="23" t="e">
        <f>_xlfn.XLOOKUP(TabelaAporte[[#This Row],[ID]],Tabela1[[ID ]],Tabela1[[ TipoAtivo ]])</f>
        <v>#N/A</v>
      </c>
      <c r="F138" s="23" t="e">
        <f>_xlfn.XLOOKUP(TabelaAporte[[#This Row],[ID]],TabelaGeral[[ID ]],TabelaGeral[[ Setor Segmento]],)</f>
        <v>#N/A</v>
      </c>
      <c r="G138" s="30"/>
      <c r="H138" s="23"/>
      <c r="I138" s="29">
        <f t="shared" si="2"/>
        <v>0</v>
      </c>
    </row>
    <row r="139" spans="2:9">
      <c r="B139" s="23"/>
      <c r="C139" s="24"/>
      <c r="D139" s="21" t="e">
        <f>_xlfn.XLOOKUP(TabelaAporte[[#This Row],[ID]],Tabela1[[ID ]],Tabela1[Ativo])</f>
        <v>#N/A</v>
      </c>
      <c r="E139" s="23" t="e">
        <f>_xlfn.XLOOKUP(TabelaAporte[[#This Row],[ID]],Tabela1[[ID ]],Tabela1[[ TipoAtivo ]])</f>
        <v>#N/A</v>
      </c>
      <c r="F139" s="23" t="e">
        <f>_xlfn.XLOOKUP(TabelaAporte[[#This Row],[ID]],TabelaGeral[[ID ]],TabelaGeral[[ Setor Segmento]],)</f>
        <v>#N/A</v>
      </c>
      <c r="G139" s="30"/>
      <c r="H139" s="23"/>
      <c r="I139" s="29">
        <f t="shared" si="2"/>
        <v>0</v>
      </c>
    </row>
    <row r="140" spans="2:9">
      <c r="B140" s="23"/>
      <c r="C140" s="24"/>
      <c r="D140" s="21" t="e">
        <f>_xlfn.XLOOKUP(TabelaAporte[[#This Row],[ID]],Tabela1[[ID ]],Tabela1[Ativo])</f>
        <v>#N/A</v>
      </c>
      <c r="E140" s="23" t="e">
        <f>_xlfn.XLOOKUP(TabelaAporte[[#This Row],[ID]],Tabela1[[ID ]],Tabela1[[ TipoAtivo ]])</f>
        <v>#N/A</v>
      </c>
      <c r="F140" s="23" t="e">
        <f>_xlfn.XLOOKUP(TabelaAporte[[#This Row],[ID]],TabelaGeral[[ID ]],TabelaGeral[[ Setor Segmento]],)</f>
        <v>#N/A</v>
      </c>
      <c r="G140" s="30"/>
      <c r="H140" s="23"/>
      <c r="I140" s="29">
        <f t="shared" si="2"/>
        <v>0</v>
      </c>
    </row>
    <row r="141" spans="2:9">
      <c r="B141" s="23"/>
      <c r="C141" s="24"/>
      <c r="D141" s="21" t="e">
        <f>_xlfn.XLOOKUP(TabelaAporte[[#This Row],[ID]],Tabela1[[ID ]],Tabela1[Ativo])</f>
        <v>#N/A</v>
      </c>
      <c r="E141" s="23" t="e">
        <f>_xlfn.XLOOKUP(TabelaAporte[[#This Row],[ID]],Tabela1[[ID ]],Tabela1[[ TipoAtivo ]])</f>
        <v>#N/A</v>
      </c>
      <c r="F141" s="23" t="e">
        <f>_xlfn.XLOOKUP(TabelaAporte[[#This Row],[ID]],TabelaGeral[[ID ]],TabelaGeral[[ Setor Segmento]],)</f>
        <v>#N/A</v>
      </c>
      <c r="G141" s="30"/>
      <c r="H141" s="23"/>
      <c r="I141" s="29">
        <f t="shared" si="2"/>
        <v>0</v>
      </c>
    </row>
    <row r="142" spans="2:9">
      <c r="B142" s="23"/>
      <c r="C142" s="24"/>
      <c r="D142" s="21" t="e">
        <f>_xlfn.XLOOKUP(TabelaAporte[[#This Row],[ID]],Tabela1[[ID ]],Tabela1[Ativo])</f>
        <v>#N/A</v>
      </c>
      <c r="E142" s="23" t="e">
        <f>_xlfn.XLOOKUP(TabelaAporte[[#This Row],[ID]],Tabela1[[ID ]],Tabela1[[ TipoAtivo ]])</f>
        <v>#N/A</v>
      </c>
      <c r="F142" s="23" t="e">
        <f>_xlfn.XLOOKUP(TabelaAporte[[#This Row],[ID]],TabelaGeral[[ID ]],TabelaGeral[[ Setor Segmento]],)</f>
        <v>#N/A</v>
      </c>
      <c r="G142" s="30"/>
      <c r="H142" s="23"/>
      <c r="I142" s="29">
        <f t="shared" si="2"/>
        <v>0</v>
      </c>
    </row>
    <row r="143" spans="2:9">
      <c r="B143" s="23"/>
      <c r="C143" s="24"/>
      <c r="D143" s="21" t="e">
        <f>_xlfn.XLOOKUP(TabelaAporte[[#This Row],[ID]],Tabela1[[ID ]],Tabela1[Ativo])</f>
        <v>#N/A</v>
      </c>
      <c r="E143" s="23" t="e">
        <f>_xlfn.XLOOKUP(TabelaAporte[[#This Row],[ID]],Tabela1[[ID ]],Tabela1[[ TipoAtivo ]])</f>
        <v>#N/A</v>
      </c>
      <c r="F143" s="23" t="e">
        <f>_xlfn.XLOOKUP(TabelaAporte[[#This Row],[ID]],TabelaGeral[[ID ]],TabelaGeral[[ Setor Segmento]],)</f>
        <v>#N/A</v>
      </c>
      <c r="G143" s="30"/>
      <c r="H143" s="23"/>
      <c r="I143" s="29">
        <f t="shared" si="2"/>
        <v>0</v>
      </c>
    </row>
    <row r="144" spans="2:9">
      <c r="B144" s="23"/>
      <c r="C144" s="24"/>
      <c r="D144" s="21" t="e">
        <f>_xlfn.XLOOKUP(TabelaAporte[[#This Row],[ID]],Tabela1[[ID ]],Tabela1[Ativo])</f>
        <v>#N/A</v>
      </c>
      <c r="E144" s="23" t="e">
        <f>_xlfn.XLOOKUP(TabelaAporte[[#This Row],[ID]],Tabela1[[ID ]],Tabela1[[ TipoAtivo ]])</f>
        <v>#N/A</v>
      </c>
      <c r="F144" s="23" t="e">
        <f>_xlfn.XLOOKUP(TabelaAporte[[#This Row],[ID]],TabelaGeral[[ID ]],TabelaGeral[[ Setor Segmento]],)</f>
        <v>#N/A</v>
      </c>
      <c r="G144" s="30"/>
      <c r="H144" s="23"/>
      <c r="I144" s="29">
        <f t="shared" si="2"/>
        <v>0</v>
      </c>
    </row>
    <row r="145" spans="2:9">
      <c r="B145" s="23"/>
      <c r="C145" s="24"/>
      <c r="D145" s="21" t="e">
        <f>_xlfn.XLOOKUP(TabelaAporte[[#This Row],[ID]],Tabela1[[ID ]],Tabela1[Ativo])</f>
        <v>#N/A</v>
      </c>
      <c r="E145" s="23" t="e">
        <f>_xlfn.XLOOKUP(TabelaAporte[[#This Row],[ID]],Tabela1[[ID ]],Tabela1[[ TipoAtivo ]])</f>
        <v>#N/A</v>
      </c>
      <c r="F145" s="23" t="e">
        <f>_xlfn.XLOOKUP(TabelaAporte[[#This Row],[ID]],TabelaGeral[[ID ]],TabelaGeral[[ Setor Segmento]],)</f>
        <v>#N/A</v>
      </c>
      <c r="G145" s="30"/>
      <c r="H145" s="23"/>
      <c r="I145" s="29">
        <f t="shared" si="2"/>
        <v>0</v>
      </c>
    </row>
    <row r="146" spans="2:9">
      <c r="B146" s="23"/>
      <c r="C146" s="24"/>
      <c r="D146" s="21" t="e">
        <f>_xlfn.XLOOKUP(TabelaAporte[[#This Row],[ID]],Tabela1[[ID ]],Tabela1[Ativo])</f>
        <v>#N/A</v>
      </c>
      <c r="E146" s="23" t="e">
        <f>_xlfn.XLOOKUP(TabelaAporte[[#This Row],[ID]],Tabela1[[ID ]],Tabela1[[ TipoAtivo ]])</f>
        <v>#N/A</v>
      </c>
      <c r="F146" s="23" t="e">
        <f>_xlfn.XLOOKUP(TabelaAporte[[#This Row],[ID]],TabelaGeral[[ID ]],TabelaGeral[[ Setor Segmento]],)</f>
        <v>#N/A</v>
      </c>
      <c r="G146" s="30"/>
      <c r="H146" s="23"/>
      <c r="I146" s="29">
        <f t="shared" si="2"/>
        <v>0</v>
      </c>
    </row>
    <row r="147" spans="2:9">
      <c r="B147" s="23"/>
      <c r="C147" s="24"/>
      <c r="D147" s="21" t="e">
        <f>_xlfn.XLOOKUP(TabelaAporte[[#This Row],[ID]],Tabela1[[ID ]],Tabela1[Ativo])</f>
        <v>#N/A</v>
      </c>
      <c r="E147" s="23" t="e">
        <f>_xlfn.XLOOKUP(TabelaAporte[[#This Row],[ID]],Tabela1[[ID ]],Tabela1[[ TipoAtivo ]])</f>
        <v>#N/A</v>
      </c>
      <c r="F147" s="23" t="e">
        <f>_xlfn.XLOOKUP(TabelaAporte[[#This Row],[ID]],TabelaGeral[[ID ]],TabelaGeral[[ Setor Segmento]],)</f>
        <v>#N/A</v>
      </c>
      <c r="G147" s="30"/>
      <c r="H147" s="23"/>
      <c r="I147" s="29">
        <f t="shared" si="2"/>
        <v>0</v>
      </c>
    </row>
    <row r="148" spans="2:9">
      <c r="B148" s="23"/>
      <c r="C148" s="24"/>
      <c r="D148" s="21" t="e">
        <f>_xlfn.XLOOKUP(TabelaAporte[[#This Row],[ID]],Tabela1[[ID ]],Tabela1[Ativo])</f>
        <v>#N/A</v>
      </c>
      <c r="E148" s="23" t="e">
        <f>_xlfn.XLOOKUP(TabelaAporte[[#This Row],[ID]],Tabela1[[ID ]],Tabela1[[ TipoAtivo ]])</f>
        <v>#N/A</v>
      </c>
      <c r="F148" s="23" t="e">
        <f>_xlfn.XLOOKUP(TabelaAporte[[#This Row],[ID]],TabelaGeral[[ID ]],TabelaGeral[[ Setor Segmento]],)</f>
        <v>#N/A</v>
      </c>
      <c r="G148" s="30"/>
      <c r="H148" s="23"/>
      <c r="I148" s="29">
        <f t="shared" si="2"/>
        <v>0</v>
      </c>
    </row>
    <row r="149" spans="2:9">
      <c r="B149" s="23"/>
      <c r="C149" s="24"/>
      <c r="D149" s="21" t="e">
        <f>_xlfn.XLOOKUP(TabelaAporte[[#This Row],[ID]],Tabela1[[ID ]],Tabela1[Ativo])</f>
        <v>#N/A</v>
      </c>
      <c r="E149" s="23" t="e">
        <f>_xlfn.XLOOKUP(TabelaAporte[[#This Row],[ID]],Tabela1[[ID ]],Tabela1[[ TipoAtivo ]])</f>
        <v>#N/A</v>
      </c>
      <c r="F149" s="23" t="e">
        <f>_xlfn.XLOOKUP(TabelaAporte[[#This Row],[ID]],TabelaGeral[[ID ]],TabelaGeral[[ Setor Segmento]],)</f>
        <v>#N/A</v>
      </c>
      <c r="G149" s="30"/>
      <c r="H149" s="23"/>
      <c r="I149" s="29">
        <f t="shared" si="2"/>
        <v>0</v>
      </c>
    </row>
    <row r="150" spans="2:9">
      <c r="B150" s="23"/>
      <c r="C150" s="24"/>
      <c r="D150" s="21" t="e">
        <f>_xlfn.XLOOKUP(TabelaAporte[[#This Row],[ID]],Tabela1[[ID ]],Tabela1[Ativo])</f>
        <v>#N/A</v>
      </c>
      <c r="E150" s="23" t="e">
        <f>_xlfn.XLOOKUP(TabelaAporte[[#This Row],[ID]],Tabela1[[ID ]],Tabela1[[ TipoAtivo ]])</f>
        <v>#N/A</v>
      </c>
      <c r="F150" s="23" t="e">
        <f>_xlfn.XLOOKUP(TabelaAporte[[#This Row],[ID]],TabelaGeral[[ID ]],TabelaGeral[[ Setor Segmento]],)</f>
        <v>#N/A</v>
      </c>
      <c r="G150" s="30"/>
      <c r="H150" s="23"/>
      <c r="I150" s="29">
        <f t="shared" si="2"/>
        <v>0</v>
      </c>
    </row>
    <row r="151" spans="2:9">
      <c r="B151" s="23"/>
      <c r="C151" s="24"/>
      <c r="D151" s="21" t="e">
        <f>_xlfn.XLOOKUP(TabelaAporte[[#This Row],[ID]],Tabela1[[ID ]],Tabela1[Ativo])</f>
        <v>#N/A</v>
      </c>
      <c r="E151" s="23" t="e">
        <f>_xlfn.XLOOKUP(TabelaAporte[[#This Row],[ID]],Tabela1[[ID ]],Tabela1[[ TipoAtivo ]])</f>
        <v>#N/A</v>
      </c>
      <c r="F151" s="23" t="e">
        <f>_xlfn.XLOOKUP(TabelaAporte[[#This Row],[ID]],TabelaGeral[[ID ]],TabelaGeral[[ Setor Segmento]],)</f>
        <v>#N/A</v>
      </c>
      <c r="G151" s="30"/>
      <c r="H151" s="23"/>
      <c r="I151" s="29">
        <f t="shared" si="2"/>
        <v>0</v>
      </c>
    </row>
    <row r="152" spans="2:9">
      <c r="B152" s="23"/>
      <c r="C152" s="24"/>
      <c r="D152" s="21" t="e">
        <f>_xlfn.XLOOKUP(TabelaAporte[[#This Row],[ID]],Tabela1[[ID ]],Tabela1[Ativo])</f>
        <v>#N/A</v>
      </c>
      <c r="E152" s="23" t="e">
        <f>_xlfn.XLOOKUP(TabelaAporte[[#This Row],[ID]],Tabela1[[ID ]],Tabela1[[ TipoAtivo ]])</f>
        <v>#N/A</v>
      </c>
      <c r="F152" s="23" t="e">
        <f>_xlfn.XLOOKUP(TabelaAporte[[#This Row],[ID]],TabelaGeral[[ID ]],TabelaGeral[[ Setor Segmento]],)</f>
        <v>#N/A</v>
      </c>
      <c r="G152" s="30"/>
      <c r="H152" s="23"/>
      <c r="I152" s="29">
        <f t="shared" si="2"/>
        <v>0</v>
      </c>
    </row>
    <row r="153" spans="2:9">
      <c r="B153" s="23"/>
      <c r="C153" s="24"/>
      <c r="D153" s="21" t="e">
        <f>_xlfn.XLOOKUP(TabelaAporte[[#This Row],[ID]],Tabela1[[ID ]],Tabela1[Ativo])</f>
        <v>#N/A</v>
      </c>
      <c r="E153" s="23" t="e">
        <f>_xlfn.XLOOKUP(TabelaAporte[[#This Row],[ID]],Tabela1[[ID ]],Tabela1[[ TipoAtivo ]])</f>
        <v>#N/A</v>
      </c>
      <c r="F153" s="23" t="e">
        <f>_xlfn.XLOOKUP(TabelaAporte[[#This Row],[ID]],TabelaGeral[[ID ]],TabelaGeral[[ Setor Segmento]],)</f>
        <v>#N/A</v>
      </c>
      <c r="G153" s="30"/>
      <c r="H153" s="23"/>
      <c r="I153" s="29">
        <f t="shared" si="2"/>
        <v>0</v>
      </c>
    </row>
    <row r="154" spans="2:9">
      <c r="B154" s="23"/>
      <c r="C154" s="24"/>
      <c r="D154" s="21" t="e">
        <f>_xlfn.XLOOKUP(TabelaAporte[[#This Row],[ID]],Tabela1[[ID ]],Tabela1[Ativo])</f>
        <v>#N/A</v>
      </c>
      <c r="E154" s="23" t="e">
        <f>_xlfn.XLOOKUP(TabelaAporte[[#This Row],[ID]],Tabela1[[ID ]],Tabela1[[ TipoAtivo ]])</f>
        <v>#N/A</v>
      </c>
      <c r="F154" s="23" t="e">
        <f>_xlfn.XLOOKUP(TabelaAporte[[#This Row],[ID]],TabelaGeral[[ID ]],TabelaGeral[[ Setor Segmento]],)</f>
        <v>#N/A</v>
      </c>
      <c r="G154" s="30"/>
      <c r="H154" s="23"/>
      <c r="I154" s="29">
        <f t="shared" si="2"/>
        <v>0</v>
      </c>
    </row>
    <row r="155" spans="2:9">
      <c r="B155" s="23"/>
      <c r="C155" s="24"/>
      <c r="D155" s="21" t="e">
        <f>_xlfn.XLOOKUP(TabelaAporte[[#This Row],[ID]],Tabela1[[ID ]],Tabela1[Ativo])</f>
        <v>#N/A</v>
      </c>
      <c r="E155" s="23" t="e">
        <f>_xlfn.XLOOKUP(TabelaAporte[[#This Row],[ID]],Tabela1[[ID ]],Tabela1[[ TipoAtivo ]])</f>
        <v>#N/A</v>
      </c>
      <c r="F155" s="23" t="e">
        <f>_xlfn.XLOOKUP(TabelaAporte[[#This Row],[ID]],TabelaGeral[[ID ]],TabelaGeral[[ Setor Segmento]],)</f>
        <v>#N/A</v>
      </c>
      <c r="G155" s="30"/>
      <c r="H155" s="23"/>
      <c r="I155" s="29">
        <f t="shared" si="2"/>
        <v>0</v>
      </c>
    </row>
    <row r="156" spans="2:9">
      <c r="B156" s="23"/>
      <c r="C156" s="24"/>
      <c r="D156" s="21" t="e">
        <f>_xlfn.XLOOKUP(TabelaAporte[[#This Row],[ID]],Tabela1[[ID ]],Tabela1[Ativo])</f>
        <v>#N/A</v>
      </c>
      <c r="E156" s="23" t="e">
        <f>_xlfn.XLOOKUP(TabelaAporte[[#This Row],[ID]],Tabela1[[ID ]],Tabela1[[ TipoAtivo ]])</f>
        <v>#N/A</v>
      </c>
      <c r="F156" s="23" t="e">
        <f>_xlfn.XLOOKUP(TabelaAporte[[#This Row],[ID]],TabelaGeral[[ID ]],TabelaGeral[[ Setor Segmento]],)</f>
        <v>#N/A</v>
      </c>
      <c r="G156" s="30"/>
      <c r="H156" s="23"/>
      <c r="I156" s="29">
        <f t="shared" si="2"/>
        <v>0</v>
      </c>
    </row>
    <row r="157" spans="2:9">
      <c r="B157" s="23"/>
      <c r="C157" s="24"/>
      <c r="D157" s="21" t="e">
        <f>_xlfn.XLOOKUP(TabelaAporte[[#This Row],[ID]],Tabela1[[ID ]],Tabela1[Ativo])</f>
        <v>#N/A</v>
      </c>
      <c r="E157" s="23" t="e">
        <f>_xlfn.XLOOKUP(TabelaAporte[[#This Row],[ID]],Tabela1[[ID ]],Tabela1[[ TipoAtivo ]])</f>
        <v>#N/A</v>
      </c>
      <c r="F157" s="23" t="e">
        <f>_xlfn.XLOOKUP(TabelaAporte[[#This Row],[ID]],TabelaGeral[[ID ]],TabelaGeral[[ Setor Segmento]],)</f>
        <v>#N/A</v>
      </c>
      <c r="G157" s="30"/>
      <c r="H157" s="23"/>
      <c r="I157" s="29">
        <f t="shared" si="2"/>
        <v>0</v>
      </c>
    </row>
    <row r="158" spans="2:9">
      <c r="B158" s="23"/>
      <c r="C158" s="24"/>
      <c r="D158" s="21" t="e">
        <f>_xlfn.XLOOKUP(TabelaAporte[[#This Row],[ID]],Tabela1[[ID ]],Tabela1[Ativo])</f>
        <v>#N/A</v>
      </c>
      <c r="E158" s="23" t="e">
        <f>_xlfn.XLOOKUP(TabelaAporte[[#This Row],[ID]],Tabela1[[ID ]],Tabela1[[ TipoAtivo ]])</f>
        <v>#N/A</v>
      </c>
      <c r="F158" s="23" t="e">
        <f>_xlfn.XLOOKUP(TabelaAporte[[#This Row],[ID]],TabelaGeral[[ID ]],TabelaGeral[[ Setor Segmento]],)</f>
        <v>#N/A</v>
      </c>
      <c r="G158" s="30"/>
      <c r="H158" s="23"/>
      <c r="I158" s="29">
        <f t="shared" si="2"/>
        <v>0</v>
      </c>
    </row>
    <row r="159" spans="2:9">
      <c r="B159" s="23"/>
      <c r="C159" s="24"/>
      <c r="D159" s="21" t="e">
        <f>_xlfn.XLOOKUP(TabelaAporte[[#This Row],[ID]],Tabela1[[ID ]],Tabela1[Ativo])</f>
        <v>#N/A</v>
      </c>
      <c r="E159" s="23" t="e">
        <f>_xlfn.XLOOKUP(TabelaAporte[[#This Row],[ID]],Tabela1[[ID ]],Tabela1[[ TipoAtivo ]])</f>
        <v>#N/A</v>
      </c>
      <c r="F159" s="23" t="e">
        <f>_xlfn.XLOOKUP(TabelaAporte[[#This Row],[ID]],TabelaGeral[[ID ]],TabelaGeral[[ Setor Segmento]],)</f>
        <v>#N/A</v>
      </c>
      <c r="G159" s="30"/>
      <c r="H159" s="23"/>
      <c r="I159" s="29">
        <f t="shared" si="2"/>
        <v>0</v>
      </c>
    </row>
    <row r="160" spans="2:9">
      <c r="B160" s="23"/>
      <c r="C160" s="24"/>
      <c r="D160" s="21" t="e">
        <f>_xlfn.XLOOKUP(TabelaAporte[[#This Row],[ID]],Tabela1[[ID ]],Tabela1[Ativo])</f>
        <v>#N/A</v>
      </c>
      <c r="E160" s="23" t="e">
        <f>_xlfn.XLOOKUP(TabelaAporte[[#This Row],[ID]],Tabela1[[ID ]],Tabela1[[ TipoAtivo ]])</f>
        <v>#N/A</v>
      </c>
      <c r="F160" s="23" t="e">
        <f>_xlfn.XLOOKUP(TabelaAporte[[#This Row],[ID]],TabelaGeral[[ID ]],TabelaGeral[[ Setor Segmento]],)</f>
        <v>#N/A</v>
      </c>
      <c r="G160" s="30"/>
      <c r="H160" s="23"/>
      <c r="I160" s="29">
        <f t="shared" si="2"/>
        <v>0</v>
      </c>
    </row>
    <row r="161" spans="2:9">
      <c r="B161" s="23"/>
      <c r="C161" s="24"/>
      <c r="D161" s="21" t="e">
        <f>_xlfn.XLOOKUP(TabelaAporte[[#This Row],[ID]],Tabela1[[ID ]],Tabela1[Ativo])</f>
        <v>#N/A</v>
      </c>
      <c r="E161" s="23" t="e">
        <f>_xlfn.XLOOKUP(TabelaAporte[[#This Row],[ID]],Tabela1[[ID ]],Tabela1[[ TipoAtivo ]])</f>
        <v>#N/A</v>
      </c>
      <c r="F161" s="23" t="e">
        <f>_xlfn.XLOOKUP(TabelaAporte[[#This Row],[ID]],TabelaGeral[[ID ]],TabelaGeral[[ Setor Segmento]],)</f>
        <v>#N/A</v>
      </c>
      <c r="G161" s="30"/>
      <c r="H161" s="23"/>
      <c r="I161" s="29">
        <f t="shared" si="2"/>
        <v>0</v>
      </c>
    </row>
    <row r="162" spans="2:9">
      <c r="B162" s="23"/>
      <c r="C162" s="24"/>
      <c r="D162" s="21" t="e">
        <f>_xlfn.XLOOKUP(TabelaAporte[[#This Row],[ID]],Tabela1[[ID ]],Tabela1[Ativo])</f>
        <v>#N/A</v>
      </c>
      <c r="E162" s="23" t="e">
        <f>_xlfn.XLOOKUP(TabelaAporte[[#This Row],[ID]],Tabela1[[ID ]],Tabela1[[ TipoAtivo ]])</f>
        <v>#N/A</v>
      </c>
      <c r="F162" s="23" t="e">
        <f>_xlfn.XLOOKUP(TabelaAporte[[#This Row],[ID]],TabelaGeral[[ID ]],TabelaGeral[[ Setor Segmento]],)</f>
        <v>#N/A</v>
      </c>
      <c r="G162" s="30"/>
      <c r="H162" s="23"/>
      <c r="I162" s="29">
        <f t="shared" si="2"/>
        <v>0</v>
      </c>
    </row>
    <row r="163" spans="2:9">
      <c r="B163" s="23"/>
      <c r="C163" s="24"/>
      <c r="D163" s="21" t="e">
        <f>_xlfn.XLOOKUP(TabelaAporte[[#This Row],[ID]],Tabela1[[ID ]],Tabela1[Ativo])</f>
        <v>#N/A</v>
      </c>
      <c r="E163" s="23" t="e">
        <f>_xlfn.XLOOKUP(TabelaAporte[[#This Row],[ID]],Tabela1[[ID ]],Tabela1[[ TipoAtivo ]])</f>
        <v>#N/A</v>
      </c>
      <c r="F163" s="23" t="e">
        <f>_xlfn.XLOOKUP(TabelaAporte[[#This Row],[ID]],TabelaGeral[[ID ]],TabelaGeral[[ Setor Segmento]],)</f>
        <v>#N/A</v>
      </c>
      <c r="G163" s="30"/>
      <c r="H163" s="23"/>
      <c r="I163" s="29">
        <f t="shared" si="2"/>
        <v>0</v>
      </c>
    </row>
    <row r="164" spans="2:9">
      <c r="B164" s="23"/>
      <c r="C164" s="24"/>
      <c r="D164" s="21" t="e">
        <f>_xlfn.XLOOKUP(TabelaAporte[[#This Row],[ID]],Tabela1[[ID ]],Tabela1[Ativo])</f>
        <v>#N/A</v>
      </c>
      <c r="E164" s="23" t="e">
        <f>_xlfn.XLOOKUP(TabelaAporte[[#This Row],[ID]],Tabela1[[ID ]],Tabela1[[ TipoAtivo ]])</f>
        <v>#N/A</v>
      </c>
      <c r="F164" s="23" t="e">
        <f>_xlfn.XLOOKUP(TabelaAporte[[#This Row],[ID]],TabelaGeral[[ID ]],TabelaGeral[[ Setor Segmento]],)</f>
        <v>#N/A</v>
      </c>
      <c r="G164" s="30"/>
      <c r="H164" s="23"/>
      <c r="I164" s="29">
        <f t="shared" si="2"/>
        <v>0</v>
      </c>
    </row>
    <row r="165" spans="2:9">
      <c r="B165" s="23"/>
      <c r="C165" s="24"/>
      <c r="D165" s="21" t="e">
        <f>_xlfn.XLOOKUP(TabelaAporte[[#This Row],[ID]],Tabela1[[ID ]],Tabela1[Ativo])</f>
        <v>#N/A</v>
      </c>
      <c r="E165" s="23" t="e">
        <f>_xlfn.XLOOKUP(TabelaAporte[[#This Row],[ID]],Tabela1[[ID ]],Tabela1[[ TipoAtivo ]])</f>
        <v>#N/A</v>
      </c>
      <c r="F165" s="23" t="e">
        <f>_xlfn.XLOOKUP(TabelaAporte[[#This Row],[ID]],TabelaGeral[[ID ]],TabelaGeral[[ Setor Segmento]],)</f>
        <v>#N/A</v>
      </c>
      <c r="G165" s="30"/>
      <c r="H165" s="23"/>
      <c r="I165" s="29">
        <f t="shared" si="2"/>
        <v>0</v>
      </c>
    </row>
    <row r="166" spans="2:9">
      <c r="B166" s="23"/>
      <c r="C166" s="24"/>
      <c r="D166" s="21" t="e">
        <f>_xlfn.XLOOKUP(TabelaAporte[[#This Row],[ID]],Tabela1[[ID ]],Tabela1[Ativo])</f>
        <v>#N/A</v>
      </c>
      <c r="E166" s="23" t="e">
        <f>_xlfn.XLOOKUP(TabelaAporte[[#This Row],[ID]],Tabela1[[ID ]],Tabela1[[ TipoAtivo ]])</f>
        <v>#N/A</v>
      </c>
      <c r="F166" s="23" t="e">
        <f>_xlfn.XLOOKUP(TabelaAporte[[#This Row],[ID]],TabelaGeral[[ID ]],TabelaGeral[[ Setor Segmento]],)</f>
        <v>#N/A</v>
      </c>
      <c r="G166" s="30"/>
      <c r="H166" s="23"/>
      <c r="I166" s="29">
        <f t="shared" si="2"/>
        <v>0</v>
      </c>
    </row>
    <row r="167" spans="2:9">
      <c r="B167" s="23"/>
      <c r="C167" s="24"/>
      <c r="D167" s="21" t="e">
        <f>_xlfn.XLOOKUP(TabelaAporte[[#This Row],[ID]],Tabela1[[ID ]],Tabela1[Ativo])</f>
        <v>#N/A</v>
      </c>
      <c r="E167" s="23" t="e">
        <f>_xlfn.XLOOKUP(TabelaAporte[[#This Row],[ID]],Tabela1[[ID ]],Tabela1[[ TipoAtivo ]])</f>
        <v>#N/A</v>
      </c>
      <c r="F167" s="23" t="e">
        <f>_xlfn.XLOOKUP(TabelaAporte[[#This Row],[ID]],TabelaGeral[[ID ]],TabelaGeral[[ Setor Segmento]],)</f>
        <v>#N/A</v>
      </c>
      <c r="G167" s="30"/>
      <c r="H167" s="23"/>
      <c r="I167" s="29">
        <f t="shared" si="2"/>
        <v>0</v>
      </c>
    </row>
    <row r="168" spans="2:9">
      <c r="B168" s="23"/>
      <c r="C168" s="24"/>
      <c r="D168" s="21" t="e">
        <f>_xlfn.XLOOKUP(TabelaAporte[[#This Row],[ID]],Tabela1[[ID ]],Tabela1[Ativo])</f>
        <v>#N/A</v>
      </c>
      <c r="E168" s="23" t="e">
        <f>_xlfn.XLOOKUP(TabelaAporte[[#This Row],[ID]],Tabela1[[ID ]],Tabela1[[ TipoAtivo ]])</f>
        <v>#N/A</v>
      </c>
      <c r="F168" s="23" t="e">
        <f>_xlfn.XLOOKUP(TabelaAporte[[#This Row],[ID]],TabelaGeral[[ID ]],TabelaGeral[[ Setor Segmento]],)</f>
        <v>#N/A</v>
      </c>
      <c r="G168" s="30"/>
      <c r="H168" s="23"/>
      <c r="I168" s="29">
        <f t="shared" si="2"/>
        <v>0</v>
      </c>
    </row>
    <row r="169" spans="2:9">
      <c r="B169" s="23"/>
      <c r="C169" s="24"/>
      <c r="D169" s="21" t="e">
        <f>_xlfn.XLOOKUP(TabelaAporte[[#This Row],[ID]],Tabela1[[ID ]],Tabela1[Ativo])</f>
        <v>#N/A</v>
      </c>
      <c r="E169" s="23" t="e">
        <f>_xlfn.XLOOKUP(TabelaAporte[[#This Row],[ID]],Tabela1[[ID ]],Tabela1[[ TipoAtivo ]])</f>
        <v>#N/A</v>
      </c>
      <c r="F169" s="23" t="e">
        <f>_xlfn.XLOOKUP(TabelaAporte[[#This Row],[ID]],TabelaGeral[[ID ]],TabelaGeral[[ Setor Segmento]],)</f>
        <v>#N/A</v>
      </c>
      <c r="G169" s="30"/>
      <c r="H169" s="23"/>
      <c r="I169" s="29">
        <f t="shared" si="2"/>
        <v>0</v>
      </c>
    </row>
    <row r="170" spans="2:9">
      <c r="B170" s="23"/>
      <c r="C170" s="24"/>
      <c r="D170" s="21" t="e">
        <f>_xlfn.XLOOKUP(TabelaAporte[[#This Row],[ID]],Tabela1[[ID ]],Tabela1[Ativo])</f>
        <v>#N/A</v>
      </c>
      <c r="E170" s="23" t="e">
        <f>_xlfn.XLOOKUP(TabelaAporte[[#This Row],[ID]],Tabela1[[ID ]],Tabela1[[ TipoAtivo ]])</f>
        <v>#N/A</v>
      </c>
      <c r="F170" s="23" t="e">
        <f>_xlfn.XLOOKUP(TabelaAporte[[#This Row],[ID]],TabelaGeral[[ID ]],TabelaGeral[[ Setor Segmento]],)</f>
        <v>#N/A</v>
      </c>
      <c r="G170" s="30"/>
      <c r="H170" s="23"/>
      <c r="I170" s="29">
        <f t="shared" si="2"/>
        <v>0</v>
      </c>
    </row>
    <row r="171" spans="2:9">
      <c r="B171" s="23"/>
      <c r="C171" s="24"/>
      <c r="D171" s="21" t="e">
        <f>_xlfn.XLOOKUP(TabelaAporte[[#This Row],[ID]],Tabela1[[ID ]],Tabela1[Ativo])</f>
        <v>#N/A</v>
      </c>
      <c r="E171" s="23" t="e">
        <f>_xlfn.XLOOKUP(TabelaAporte[[#This Row],[ID]],Tabela1[[ID ]],Tabela1[[ TipoAtivo ]])</f>
        <v>#N/A</v>
      </c>
      <c r="F171" s="23" t="e">
        <f>_xlfn.XLOOKUP(TabelaAporte[[#This Row],[ID]],TabelaGeral[[ID ]],TabelaGeral[[ Setor Segmento]],)</f>
        <v>#N/A</v>
      </c>
      <c r="G171" s="30"/>
      <c r="H171" s="23"/>
      <c r="I171" s="29">
        <f t="shared" si="2"/>
        <v>0</v>
      </c>
    </row>
    <row r="172" spans="2:9">
      <c r="B172" s="23"/>
      <c r="C172" s="24"/>
      <c r="D172" s="21" t="e">
        <f>_xlfn.XLOOKUP(TabelaAporte[[#This Row],[ID]],Tabela1[[ID ]],Tabela1[Ativo])</f>
        <v>#N/A</v>
      </c>
      <c r="E172" s="23" t="e">
        <f>_xlfn.XLOOKUP(TabelaAporte[[#This Row],[ID]],Tabela1[[ID ]],Tabela1[[ TipoAtivo ]])</f>
        <v>#N/A</v>
      </c>
      <c r="F172" s="23" t="e">
        <f>_xlfn.XLOOKUP(TabelaAporte[[#This Row],[ID]],TabelaGeral[[ID ]],TabelaGeral[[ Setor Segmento]],)</f>
        <v>#N/A</v>
      </c>
      <c r="G172" s="30"/>
      <c r="H172" s="23"/>
      <c r="I172" s="29">
        <f t="shared" si="2"/>
        <v>0</v>
      </c>
    </row>
    <row r="173" spans="2:9">
      <c r="B173" s="23"/>
      <c r="C173" s="24"/>
      <c r="D173" s="21" t="e">
        <f>_xlfn.XLOOKUP(TabelaAporte[[#This Row],[ID]],Tabela1[[ID ]],Tabela1[Ativo])</f>
        <v>#N/A</v>
      </c>
      <c r="E173" s="23" t="e">
        <f>_xlfn.XLOOKUP(TabelaAporte[[#This Row],[ID]],Tabela1[[ID ]],Tabela1[[ TipoAtivo ]])</f>
        <v>#N/A</v>
      </c>
      <c r="F173" s="23" t="e">
        <f>_xlfn.XLOOKUP(TabelaAporte[[#This Row],[ID]],TabelaGeral[[ID ]],TabelaGeral[[ Setor Segmento]],)</f>
        <v>#N/A</v>
      </c>
      <c r="G173" s="30"/>
      <c r="H173" s="23"/>
      <c r="I173" s="29">
        <f t="shared" si="2"/>
        <v>0</v>
      </c>
    </row>
    <row r="174" spans="2:9">
      <c r="B174" s="23"/>
      <c r="C174" s="24"/>
      <c r="D174" s="21" t="e">
        <f>_xlfn.XLOOKUP(TabelaAporte[[#This Row],[ID]],Tabela1[[ID ]],Tabela1[Ativo])</f>
        <v>#N/A</v>
      </c>
      <c r="E174" s="23" t="e">
        <f>_xlfn.XLOOKUP(TabelaAporte[[#This Row],[ID]],Tabela1[[ID ]],Tabela1[[ TipoAtivo ]])</f>
        <v>#N/A</v>
      </c>
      <c r="F174" s="23" t="e">
        <f>_xlfn.XLOOKUP(TabelaAporte[[#This Row],[ID]],TabelaGeral[[ID ]],TabelaGeral[[ Setor Segmento]],)</f>
        <v>#N/A</v>
      </c>
      <c r="G174" s="30"/>
      <c r="H174" s="23"/>
      <c r="I174" s="29">
        <f t="shared" si="2"/>
        <v>0</v>
      </c>
    </row>
    <row r="175" spans="2:9">
      <c r="B175" s="23"/>
      <c r="C175" s="24"/>
      <c r="D175" s="21" t="e">
        <f>_xlfn.XLOOKUP(TabelaAporte[[#This Row],[ID]],Tabela1[[ID ]],Tabela1[Ativo])</f>
        <v>#N/A</v>
      </c>
      <c r="E175" s="23" t="e">
        <f>_xlfn.XLOOKUP(TabelaAporte[[#This Row],[ID]],Tabela1[[ID ]],Tabela1[[ TipoAtivo ]])</f>
        <v>#N/A</v>
      </c>
      <c r="F175" s="23" t="e">
        <f>_xlfn.XLOOKUP(TabelaAporte[[#This Row],[ID]],TabelaGeral[[ID ]],TabelaGeral[[ Setor Segmento]],)</f>
        <v>#N/A</v>
      </c>
      <c r="G175" s="30"/>
      <c r="H175" s="23"/>
      <c r="I175" s="29">
        <f t="shared" si="2"/>
        <v>0</v>
      </c>
    </row>
    <row r="176" spans="2:9">
      <c r="B176" s="23"/>
      <c r="C176" s="24"/>
      <c r="D176" s="21" t="e">
        <f>_xlfn.XLOOKUP(TabelaAporte[[#This Row],[ID]],Tabela1[[ID ]],Tabela1[Ativo])</f>
        <v>#N/A</v>
      </c>
      <c r="E176" s="23" t="e">
        <f>_xlfn.XLOOKUP(TabelaAporte[[#This Row],[ID]],Tabela1[[ID ]],Tabela1[[ TipoAtivo ]])</f>
        <v>#N/A</v>
      </c>
      <c r="F176" s="23" t="e">
        <f>_xlfn.XLOOKUP(TabelaAporte[[#This Row],[ID]],TabelaGeral[[ID ]],TabelaGeral[[ Setor Segmento]],)</f>
        <v>#N/A</v>
      </c>
      <c r="G176" s="30"/>
      <c r="H176" s="23"/>
      <c r="I176" s="29">
        <f t="shared" si="2"/>
        <v>0</v>
      </c>
    </row>
    <row r="177" spans="2:9">
      <c r="B177" s="23"/>
      <c r="C177" s="24"/>
      <c r="D177" s="21" t="e">
        <f>_xlfn.XLOOKUP(TabelaAporte[[#This Row],[ID]],Tabela1[[ID ]],Tabela1[Ativo])</f>
        <v>#N/A</v>
      </c>
      <c r="E177" s="23" t="e">
        <f>_xlfn.XLOOKUP(TabelaAporte[[#This Row],[ID]],Tabela1[[ID ]],Tabela1[[ TipoAtivo ]])</f>
        <v>#N/A</v>
      </c>
      <c r="F177" s="23" t="e">
        <f>_xlfn.XLOOKUP(TabelaAporte[[#This Row],[ID]],TabelaGeral[[ID ]],TabelaGeral[[ Setor Segmento]],)</f>
        <v>#N/A</v>
      </c>
      <c r="G177" s="30"/>
      <c r="H177" s="23"/>
      <c r="I177" s="29">
        <f t="shared" si="2"/>
        <v>0</v>
      </c>
    </row>
    <row r="178" spans="2:9">
      <c r="B178" s="23"/>
      <c r="C178" s="24"/>
      <c r="D178" s="21" t="e">
        <f>_xlfn.XLOOKUP(TabelaAporte[[#This Row],[ID]],Tabela1[[ID ]],Tabela1[Ativo])</f>
        <v>#N/A</v>
      </c>
      <c r="E178" s="23" t="e">
        <f>_xlfn.XLOOKUP(TabelaAporte[[#This Row],[ID]],Tabela1[[ID ]],Tabela1[[ TipoAtivo ]])</f>
        <v>#N/A</v>
      </c>
      <c r="F178" s="23" t="e">
        <f>_xlfn.XLOOKUP(TabelaAporte[[#This Row],[ID]],TabelaGeral[[ID ]],TabelaGeral[[ Setor Segmento]],)</f>
        <v>#N/A</v>
      </c>
      <c r="G178" s="30"/>
      <c r="H178" s="23"/>
      <c r="I178" s="29">
        <f t="shared" si="2"/>
        <v>0</v>
      </c>
    </row>
    <row r="179" spans="2:9">
      <c r="B179" s="23"/>
      <c r="C179" s="24"/>
      <c r="D179" s="21" t="e">
        <f>_xlfn.XLOOKUP(TabelaAporte[[#This Row],[ID]],Tabela1[[ID ]],Tabela1[Ativo])</f>
        <v>#N/A</v>
      </c>
      <c r="E179" s="23" t="e">
        <f>_xlfn.XLOOKUP(TabelaAporte[[#This Row],[ID]],Tabela1[[ID ]],Tabela1[[ TipoAtivo ]])</f>
        <v>#N/A</v>
      </c>
      <c r="F179" s="23" t="e">
        <f>_xlfn.XLOOKUP(TabelaAporte[[#This Row],[ID]],TabelaGeral[[ID ]],TabelaGeral[[ Setor Segmento]],)</f>
        <v>#N/A</v>
      </c>
      <c r="G179" s="30"/>
      <c r="H179" s="23"/>
      <c r="I179" s="29">
        <f t="shared" si="2"/>
        <v>0</v>
      </c>
    </row>
    <row r="180" spans="2:9">
      <c r="B180" s="23"/>
      <c r="C180" s="24"/>
      <c r="D180" s="21" t="e">
        <f>_xlfn.XLOOKUP(TabelaAporte[[#This Row],[ID]],Tabela1[[ID ]],Tabela1[Ativo])</f>
        <v>#N/A</v>
      </c>
      <c r="E180" s="23" t="e">
        <f>_xlfn.XLOOKUP(TabelaAporte[[#This Row],[ID]],Tabela1[[ID ]],Tabela1[[ TipoAtivo ]])</f>
        <v>#N/A</v>
      </c>
      <c r="F180" s="23" t="e">
        <f>_xlfn.XLOOKUP(TabelaAporte[[#This Row],[ID]],TabelaGeral[[ID ]],TabelaGeral[[ Setor Segmento]],)</f>
        <v>#N/A</v>
      </c>
      <c r="G180" s="30"/>
      <c r="H180" s="23"/>
      <c r="I180" s="29">
        <f t="shared" si="2"/>
        <v>0</v>
      </c>
    </row>
    <row r="181" spans="2:9">
      <c r="B181" s="23"/>
      <c r="C181" s="24"/>
      <c r="D181" s="21" t="e">
        <f>_xlfn.XLOOKUP(TabelaAporte[[#This Row],[ID]],Tabela1[[ID ]],Tabela1[Ativo])</f>
        <v>#N/A</v>
      </c>
      <c r="E181" s="23" t="e">
        <f>_xlfn.XLOOKUP(TabelaAporte[[#This Row],[ID]],Tabela1[[ID ]],Tabela1[[ TipoAtivo ]])</f>
        <v>#N/A</v>
      </c>
      <c r="F181" s="23" t="e">
        <f>_xlfn.XLOOKUP(TabelaAporte[[#This Row],[ID]],TabelaGeral[[ID ]],TabelaGeral[[ Setor Segmento]],)</f>
        <v>#N/A</v>
      </c>
      <c r="G181" s="30"/>
      <c r="H181" s="23"/>
      <c r="I181" s="29">
        <f t="shared" si="2"/>
        <v>0</v>
      </c>
    </row>
    <row r="182" spans="2:9">
      <c r="B182" s="23"/>
      <c r="C182" s="24"/>
      <c r="D182" s="21" t="e">
        <f>_xlfn.XLOOKUP(TabelaAporte[[#This Row],[ID]],Tabela1[[ID ]],Tabela1[Ativo])</f>
        <v>#N/A</v>
      </c>
      <c r="E182" s="23" t="e">
        <f>_xlfn.XLOOKUP(TabelaAporte[[#This Row],[ID]],Tabela1[[ID ]],Tabela1[[ TipoAtivo ]])</f>
        <v>#N/A</v>
      </c>
      <c r="F182" s="23" t="e">
        <f>_xlfn.XLOOKUP(TabelaAporte[[#This Row],[ID]],TabelaGeral[[ID ]],TabelaGeral[[ Setor Segmento]],)</f>
        <v>#N/A</v>
      </c>
      <c r="G182" s="30"/>
      <c r="H182" s="23"/>
      <c r="I182" s="29">
        <f t="shared" si="2"/>
        <v>0</v>
      </c>
    </row>
    <row r="183" spans="2:9">
      <c r="B183" s="23"/>
      <c r="C183" s="24"/>
      <c r="D183" s="21" t="e">
        <f>_xlfn.XLOOKUP(TabelaAporte[[#This Row],[ID]],Tabela1[[ID ]],Tabela1[Ativo])</f>
        <v>#N/A</v>
      </c>
      <c r="E183" s="23" t="e">
        <f>_xlfn.XLOOKUP(TabelaAporte[[#This Row],[ID]],Tabela1[[ID ]],Tabela1[[ TipoAtivo ]])</f>
        <v>#N/A</v>
      </c>
      <c r="F183" s="23" t="e">
        <f>_xlfn.XLOOKUP(TabelaAporte[[#This Row],[ID]],TabelaGeral[[ID ]],TabelaGeral[[ Setor Segmento]],)</f>
        <v>#N/A</v>
      </c>
      <c r="G183" s="30"/>
      <c r="H183" s="23"/>
      <c r="I183" s="29">
        <f t="shared" si="2"/>
        <v>0</v>
      </c>
    </row>
    <row r="184" spans="2:9">
      <c r="B184" s="23"/>
      <c r="C184" s="24"/>
      <c r="D184" s="21" t="e">
        <f>_xlfn.XLOOKUP(TabelaAporte[[#This Row],[ID]],Tabela1[[ID ]],Tabela1[Ativo])</f>
        <v>#N/A</v>
      </c>
      <c r="E184" s="23" t="e">
        <f>_xlfn.XLOOKUP(TabelaAporte[[#This Row],[ID]],Tabela1[[ID ]],Tabela1[[ TipoAtivo ]])</f>
        <v>#N/A</v>
      </c>
      <c r="F184" s="23" t="e">
        <f>_xlfn.XLOOKUP(TabelaAporte[[#This Row],[ID]],TabelaGeral[[ID ]],TabelaGeral[[ Setor Segmento]],)</f>
        <v>#N/A</v>
      </c>
      <c r="G184" s="30"/>
      <c r="H184" s="23"/>
      <c r="I184" s="29">
        <f t="shared" si="2"/>
        <v>0</v>
      </c>
    </row>
    <row r="185" spans="2:9">
      <c r="B185" s="23"/>
      <c r="C185" s="24"/>
      <c r="D185" s="21" t="e">
        <f>_xlfn.XLOOKUP(TabelaAporte[[#This Row],[ID]],Tabela1[[ID ]],Tabela1[Ativo])</f>
        <v>#N/A</v>
      </c>
      <c r="E185" s="23" t="e">
        <f>_xlfn.XLOOKUP(TabelaAporte[[#This Row],[ID]],Tabela1[[ID ]],Tabela1[[ TipoAtivo ]])</f>
        <v>#N/A</v>
      </c>
      <c r="F185" s="23" t="e">
        <f>_xlfn.XLOOKUP(TabelaAporte[[#This Row],[ID]],TabelaGeral[[ID ]],TabelaGeral[[ Setor Segmento]],)</f>
        <v>#N/A</v>
      </c>
      <c r="G185" s="30"/>
      <c r="H185" s="23"/>
      <c r="I185" s="29">
        <f t="shared" si="2"/>
        <v>0</v>
      </c>
    </row>
    <row r="186" spans="2:9">
      <c r="B186" s="23"/>
      <c r="C186" s="24"/>
      <c r="D186" s="21" t="e">
        <f>_xlfn.XLOOKUP(TabelaAporte[[#This Row],[ID]],Tabela1[[ID ]],Tabela1[Ativo])</f>
        <v>#N/A</v>
      </c>
      <c r="E186" s="23" t="e">
        <f>_xlfn.XLOOKUP(TabelaAporte[[#This Row],[ID]],Tabela1[[ID ]],Tabela1[[ TipoAtivo ]])</f>
        <v>#N/A</v>
      </c>
      <c r="F186" s="23" t="e">
        <f>_xlfn.XLOOKUP(TabelaAporte[[#This Row],[ID]],TabelaGeral[[ID ]],TabelaGeral[[ Setor Segmento]],)</f>
        <v>#N/A</v>
      </c>
      <c r="G186" s="30"/>
      <c r="H186" s="23"/>
      <c r="I186" s="29">
        <f t="shared" si="2"/>
        <v>0</v>
      </c>
    </row>
    <row r="187" spans="2:9">
      <c r="B187" s="23"/>
      <c r="C187" s="24"/>
      <c r="D187" s="21" t="e">
        <f>_xlfn.XLOOKUP(TabelaAporte[[#This Row],[ID]],Tabela1[[ID ]],Tabela1[Ativo])</f>
        <v>#N/A</v>
      </c>
      <c r="E187" s="23" t="e">
        <f>_xlfn.XLOOKUP(TabelaAporte[[#This Row],[ID]],Tabela1[[ID ]],Tabela1[[ TipoAtivo ]])</f>
        <v>#N/A</v>
      </c>
      <c r="F187" s="23" t="e">
        <f>_xlfn.XLOOKUP(TabelaAporte[[#This Row],[ID]],TabelaGeral[[ID ]],TabelaGeral[[ Setor Segmento]],)</f>
        <v>#N/A</v>
      </c>
      <c r="G187" s="30"/>
      <c r="H187" s="23"/>
      <c r="I187" s="29">
        <f t="shared" si="2"/>
        <v>0</v>
      </c>
    </row>
    <row r="188" spans="2:9">
      <c r="B188" s="23"/>
      <c r="C188" s="24"/>
      <c r="D188" s="21" t="e">
        <f>_xlfn.XLOOKUP(TabelaAporte[[#This Row],[ID]],Tabela1[[ID ]],Tabela1[Ativo])</f>
        <v>#N/A</v>
      </c>
      <c r="E188" s="23" t="e">
        <f>_xlfn.XLOOKUP(TabelaAporte[[#This Row],[ID]],Tabela1[[ID ]],Tabela1[[ TipoAtivo ]])</f>
        <v>#N/A</v>
      </c>
      <c r="F188" s="23" t="e">
        <f>_xlfn.XLOOKUP(TabelaAporte[[#This Row],[ID]],TabelaGeral[[ID ]],TabelaGeral[[ Setor Segmento]],)</f>
        <v>#N/A</v>
      </c>
      <c r="G188" s="30"/>
      <c r="H188" s="23"/>
      <c r="I188" s="29">
        <f t="shared" si="2"/>
        <v>0</v>
      </c>
    </row>
    <row r="189" spans="2:9">
      <c r="B189" s="23"/>
      <c r="C189" s="24"/>
      <c r="D189" s="21" t="e">
        <f>_xlfn.XLOOKUP(TabelaAporte[[#This Row],[ID]],Tabela1[[ID ]],Tabela1[Ativo])</f>
        <v>#N/A</v>
      </c>
      <c r="E189" s="23" t="e">
        <f>_xlfn.XLOOKUP(TabelaAporte[[#This Row],[ID]],Tabela1[[ID ]],Tabela1[[ TipoAtivo ]])</f>
        <v>#N/A</v>
      </c>
      <c r="F189" s="23" t="e">
        <f>_xlfn.XLOOKUP(TabelaAporte[[#This Row],[ID]],TabelaGeral[[ID ]],TabelaGeral[[ Setor Segmento]],)</f>
        <v>#N/A</v>
      </c>
      <c r="G189" s="30"/>
      <c r="H189" s="23"/>
      <c r="I189" s="29">
        <f t="shared" si="2"/>
        <v>0</v>
      </c>
    </row>
    <row r="190" spans="2:9">
      <c r="B190" s="23"/>
      <c r="C190" s="24"/>
      <c r="D190" s="21" t="e">
        <f>_xlfn.XLOOKUP(TabelaAporte[[#This Row],[ID]],Tabela1[[ID ]],Tabela1[Ativo])</f>
        <v>#N/A</v>
      </c>
      <c r="E190" s="23" t="e">
        <f>_xlfn.XLOOKUP(TabelaAporte[[#This Row],[ID]],Tabela1[[ID ]],Tabela1[[ TipoAtivo ]])</f>
        <v>#N/A</v>
      </c>
      <c r="F190" s="23" t="e">
        <f>_xlfn.XLOOKUP(TabelaAporte[[#This Row],[ID]],TabelaGeral[[ID ]],TabelaGeral[[ Setor Segmento]],)</f>
        <v>#N/A</v>
      </c>
      <c r="G190" s="30"/>
      <c r="H190" s="23"/>
      <c r="I190" s="29">
        <f t="shared" si="2"/>
        <v>0</v>
      </c>
    </row>
    <row r="191" spans="2:9">
      <c r="B191" s="23"/>
      <c r="C191" s="24"/>
      <c r="D191" s="21" t="e">
        <f>_xlfn.XLOOKUP(TabelaAporte[[#This Row],[ID]],Tabela1[[ID ]],Tabela1[Ativo])</f>
        <v>#N/A</v>
      </c>
      <c r="E191" s="23" t="e">
        <f>_xlfn.XLOOKUP(TabelaAporte[[#This Row],[ID]],Tabela1[[ID ]],Tabela1[[ TipoAtivo ]])</f>
        <v>#N/A</v>
      </c>
      <c r="F191" s="23" t="e">
        <f>_xlfn.XLOOKUP(TabelaAporte[[#This Row],[ID]],TabelaGeral[[ID ]],TabelaGeral[[ Setor Segmento]],)</f>
        <v>#N/A</v>
      </c>
      <c r="G191" s="30"/>
      <c r="H191" s="23"/>
      <c r="I191" s="29">
        <f t="shared" si="2"/>
        <v>0</v>
      </c>
    </row>
    <row r="192" spans="2:9">
      <c r="B192" s="23"/>
      <c r="C192" s="24"/>
      <c r="D192" s="21" t="e">
        <f>_xlfn.XLOOKUP(TabelaAporte[[#This Row],[ID]],Tabela1[[ID ]],Tabela1[Ativo])</f>
        <v>#N/A</v>
      </c>
      <c r="E192" s="23" t="e">
        <f>_xlfn.XLOOKUP(TabelaAporte[[#This Row],[ID]],Tabela1[[ID ]],Tabela1[[ TipoAtivo ]])</f>
        <v>#N/A</v>
      </c>
      <c r="F192" s="23" t="e">
        <f>_xlfn.XLOOKUP(TabelaAporte[[#This Row],[ID]],TabelaGeral[[ID ]],TabelaGeral[[ Setor Segmento]],)</f>
        <v>#N/A</v>
      </c>
      <c r="G192" s="30"/>
      <c r="H192" s="23"/>
      <c r="I192" s="29">
        <f t="shared" si="2"/>
        <v>0</v>
      </c>
    </row>
    <row r="193" spans="2:9">
      <c r="B193" s="23"/>
      <c r="C193" s="24"/>
      <c r="D193" s="21" t="e">
        <f>_xlfn.XLOOKUP(TabelaAporte[[#This Row],[ID]],Tabela1[[ID ]],Tabela1[Ativo])</f>
        <v>#N/A</v>
      </c>
      <c r="E193" s="23" t="e">
        <f>_xlfn.XLOOKUP(TabelaAporte[[#This Row],[ID]],Tabela1[[ID ]],Tabela1[[ TipoAtivo ]])</f>
        <v>#N/A</v>
      </c>
      <c r="F193" s="23" t="e">
        <f>_xlfn.XLOOKUP(TabelaAporte[[#This Row],[ID]],TabelaGeral[[ID ]],TabelaGeral[[ Setor Segmento]],)</f>
        <v>#N/A</v>
      </c>
      <c r="G193" s="30"/>
      <c r="H193" s="23"/>
      <c r="I193" s="29">
        <f t="shared" si="2"/>
        <v>0</v>
      </c>
    </row>
    <row r="194" spans="2:9">
      <c r="B194" s="23"/>
      <c r="C194" s="24"/>
      <c r="D194" s="21" t="e">
        <f>_xlfn.XLOOKUP(TabelaAporte[[#This Row],[ID]],Tabela1[[ID ]],Tabela1[Ativo])</f>
        <v>#N/A</v>
      </c>
      <c r="E194" s="23" t="e">
        <f>_xlfn.XLOOKUP(TabelaAporte[[#This Row],[ID]],Tabela1[[ID ]],Tabela1[[ TipoAtivo ]])</f>
        <v>#N/A</v>
      </c>
      <c r="F194" s="23" t="e">
        <f>_xlfn.XLOOKUP(TabelaAporte[[#This Row],[ID]],TabelaGeral[[ID ]],TabelaGeral[[ Setor Segmento]],)</f>
        <v>#N/A</v>
      </c>
      <c r="G194" s="30"/>
      <c r="H194" s="23"/>
      <c r="I194" s="29">
        <f t="shared" si="2"/>
        <v>0</v>
      </c>
    </row>
    <row r="195" spans="2:9">
      <c r="B195" s="23"/>
      <c r="C195" s="24"/>
      <c r="D195" s="21" t="e">
        <f>_xlfn.XLOOKUP(TabelaAporte[[#This Row],[ID]],Tabela1[[ID ]],Tabela1[Ativo])</f>
        <v>#N/A</v>
      </c>
      <c r="E195" s="23" t="e">
        <f>_xlfn.XLOOKUP(TabelaAporte[[#This Row],[ID]],Tabela1[[ID ]],Tabela1[[ TipoAtivo ]])</f>
        <v>#N/A</v>
      </c>
      <c r="F195" s="23" t="e">
        <f>_xlfn.XLOOKUP(TabelaAporte[[#This Row],[ID]],TabelaGeral[[ID ]],TabelaGeral[[ Setor Segmento]],)</f>
        <v>#N/A</v>
      </c>
      <c r="G195" s="30"/>
      <c r="H195" s="23"/>
      <c r="I195" s="29">
        <f t="shared" ref="I195:I258" si="3">H195*G195</f>
        <v>0</v>
      </c>
    </row>
    <row r="196" spans="2:9">
      <c r="B196" s="23"/>
      <c r="C196" s="24"/>
      <c r="D196" s="21" t="e">
        <f>_xlfn.XLOOKUP(TabelaAporte[[#This Row],[ID]],Tabela1[[ID ]],Tabela1[Ativo])</f>
        <v>#N/A</v>
      </c>
      <c r="E196" s="23" t="e">
        <f>_xlfn.XLOOKUP(TabelaAporte[[#This Row],[ID]],Tabela1[[ID ]],Tabela1[[ TipoAtivo ]])</f>
        <v>#N/A</v>
      </c>
      <c r="F196" s="23" t="e">
        <f>_xlfn.XLOOKUP(TabelaAporte[[#This Row],[ID]],TabelaGeral[[ID ]],TabelaGeral[[ Setor Segmento]],)</f>
        <v>#N/A</v>
      </c>
      <c r="G196" s="30"/>
      <c r="H196" s="23"/>
      <c r="I196" s="29">
        <f t="shared" si="3"/>
        <v>0</v>
      </c>
    </row>
    <row r="197" spans="2:9">
      <c r="B197" s="23"/>
      <c r="C197" s="24"/>
      <c r="D197" s="21" t="e">
        <f>_xlfn.XLOOKUP(TabelaAporte[[#This Row],[ID]],Tabela1[[ID ]],Tabela1[Ativo])</f>
        <v>#N/A</v>
      </c>
      <c r="E197" s="23" t="e">
        <f>_xlfn.XLOOKUP(TabelaAporte[[#This Row],[ID]],Tabela1[[ID ]],Tabela1[[ TipoAtivo ]])</f>
        <v>#N/A</v>
      </c>
      <c r="F197" s="23" t="e">
        <f>_xlfn.XLOOKUP(TabelaAporte[[#This Row],[ID]],TabelaGeral[[ID ]],TabelaGeral[[ Setor Segmento]],)</f>
        <v>#N/A</v>
      </c>
      <c r="G197" s="30"/>
      <c r="H197" s="23"/>
      <c r="I197" s="29">
        <f t="shared" si="3"/>
        <v>0</v>
      </c>
    </row>
    <row r="198" spans="2:9">
      <c r="B198" s="23"/>
      <c r="C198" s="24"/>
      <c r="D198" s="21" t="e">
        <f>_xlfn.XLOOKUP(TabelaAporte[[#This Row],[ID]],Tabela1[[ID ]],Tabela1[Ativo])</f>
        <v>#N/A</v>
      </c>
      <c r="E198" s="23" t="e">
        <f>_xlfn.XLOOKUP(TabelaAporte[[#This Row],[ID]],Tabela1[[ID ]],Tabela1[[ TipoAtivo ]])</f>
        <v>#N/A</v>
      </c>
      <c r="F198" s="23" t="e">
        <f>_xlfn.XLOOKUP(TabelaAporte[[#This Row],[ID]],TabelaGeral[[ID ]],TabelaGeral[[ Setor Segmento]],)</f>
        <v>#N/A</v>
      </c>
      <c r="G198" s="30"/>
      <c r="H198" s="23"/>
      <c r="I198" s="29">
        <f t="shared" si="3"/>
        <v>0</v>
      </c>
    </row>
    <row r="199" spans="2:9">
      <c r="B199" s="23"/>
      <c r="C199" s="24"/>
      <c r="D199" s="21" t="e">
        <f>_xlfn.XLOOKUP(TabelaAporte[[#This Row],[ID]],Tabela1[[ID ]],Tabela1[Ativo])</f>
        <v>#N/A</v>
      </c>
      <c r="E199" s="23" t="e">
        <f>_xlfn.XLOOKUP(TabelaAporte[[#This Row],[ID]],Tabela1[[ID ]],Tabela1[[ TipoAtivo ]])</f>
        <v>#N/A</v>
      </c>
      <c r="F199" s="23" t="e">
        <f>_xlfn.XLOOKUP(TabelaAporte[[#This Row],[ID]],TabelaGeral[[ID ]],TabelaGeral[[ Setor Segmento]],)</f>
        <v>#N/A</v>
      </c>
      <c r="G199" s="30"/>
      <c r="H199" s="23"/>
      <c r="I199" s="29">
        <f t="shared" si="3"/>
        <v>0</v>
      </c>
    </row>
    <row r="200" spans="2:9">
      <c r="B200" s="23"/>
      <c r="C200" s="24"/>
      <c r="D200" s="21" t="e">
        <f>_xlfn.XLOOKUP(TabelaAporte[[#This Row],[ID]],Tabela1[[ID ]],Tabela1[Ativo])</f>
        <v>#N/A</v>
      </c>
      <c r="E200" s="23" t="e">
        <f>_xlfn.XLOOKUP(TabelaAporte[[#This Row],[ID]],Tabela1[[ID ]],Tabela1[[ TipoAtivo ]])</f>
        <v>#N/A</v>
      </c>
      <c r="F200" s="23" t="e">
        <f>_xlfn.XLOOKUP(TabelaAporte[[#This Row],[ID]],TabelaGeral[[ID ]],TabelaGeral[[ Setor Segmento]],)</f>
        <v>#N/A</v>
      </c>
      <c r="G200" s="30"/>
      <c r="H200" s="23"/>
      <c r="I200" s="29">
        <f t="shared" si="3"/>
        <v>0</v>
      </c>
    </row>
    <row r="201" spans="2:9">
      <c r="B201" s="23"/>
      <c r="C201" s="24"/>
      <c r="D201" s="21" t="e">
        <f>_xlfn.XLOOKUP(TabelaAporte[[#This Row],[ID]],Tabela1[[ID ]],Tabela1[Ativo])</f>
        <v>#N/A</v>
      </c>
      <c r="E201" s="23" t="e">
        <f>_xlfn.XLOOKUP(TabelaAporte[[#This Row],[ID]],Tabela1[[ID ]],Tabela1[[ TipoAtivo ]])</f>
        <v>#N/A</v>
      </c>
      <c r="F201" s="23" t="e">
        <f>_xlfn.XLOOKUP(TabelaAporte[[#This Row],[ID]],TabelaGeral[[ID ]],TabelaGeral[[ Setor Segmento]],)</f>
        <v>#N/A</v>
      </c>
      <c r="G201" s="30"/>
      <c r="H201" s="23"/>
      <c r="I201" s="29">
        <f t="shared" si="3"/>
        <v>0</v>
      </c>
    </row>
    <row r="202" spans="2:9">
      <c r="B202" s="23"/>
      <c r="C202" s="24"/>
      <c r="D202" s="21" t="e">
        <f>_xlfn.XLOOKUP(TabelaAporte[[#This Row],[ID]],Tabela1[[ID ]],Tabela1[Ativo])</f>
        <v>#N/A</v>
      </c>
      <c r="E202" s="23" t="e">
        <f>_xlfn.XLOOKUP(TabelaAporte[[#This Row],[ID]],Tabela1[[ID ]],Tabela1[[ TipoAtivo ]])</f>
        <v>#N/A</v>
      </c>
      <c r="F202" s="23" t="e">
        <f>_xlfn.XLOOKUP(TabelaAporte[[#This Row],[ID]],TabelaGeral[[ID ]],TabelaGeral[[ Setor Segmento]],)</f>
        <v>#N/A</v>
      </c>
      <c r="G202" s="30"/>
      <c r="H202" s="23"/>
      <c r="I202" s="29">
        <f t="shared" si="3"/>
        <v>0</v>
      </c>
    </row>
    <row r="203" spans="2:9">
      <c r="B203" s="23"/>
      <c r="C203" s="24"/>
      <c r="D203" s="21" t="e">
        <f>_xlfn.XLOOKUP(TabelaAporte[[#This Row],[ID]],Tabela1[[ID ]],Tabela1[Ativo])</f>
        <v>#N/A</v>
      </c>
      <c r="E203" s="23" t="e">
        <f>_xlfn.XLOOKUP(TabelaAporte[[#This Row],[ID]],Tabela1[[ID ]],Tabela1[[ TipoAtivo ]])</f>
        <v>#N/A</v>
      </c>
      <c r="F203" s="23" t="e">
        <f>_xlfn.XLOOKUP(TabelaAporte[[#This Row],[ID]],TabelaGeral[[ID ]],TabelaGeral[[ Setor Segmento]],)</f>
        <v>#N/A</v>
      </c>
      <c r="G203" s="30"/>
      <c r="H203" s="23"/>
      <c r="I203" s="29">
        <f t="shared" si="3"/>
        <v>0</v>
      </c>
    </row>
    <row r="204" spans="2:9">
      <c r="B204" s="23"/>
      <c r="C204" s="24"/>
      <c r="D204" s="21" t="e">
        <f>_xlfn.XLOOKUP(TabelaAporte[[#This Row],[ID]],Tabela1[[ID ]],Tabela1[Ativo])</f>
        <v>#N/A</v>
      </c>
      <c r="E204" s="23" t="e">
        <f>_xlfn.XLOOKUP(TabelaAporte[[#This Row],[ID]],Tabela1[[ID ]],Tabela1[[ TipoAtivo ]])</f>
        <v>#N/A</v>
      </c>
      <c r="F204" s="23" t="e">
        <f>_xlfn.XLOOKUP(TabelaAporte[[#This Row],[ID]],TabelaGeral[[ID ]],TabelaGeral[[ Setor Segmento]],)</f>
        <v>#N/A</v>
      </c>
      <c r="G204" s="30"/>
      <c r="H204" s="23"/>
      <c r="I204" s="29">
        <f t="shared" si="3"/>
        <v>0</v>
      </c>
    </row>
    <row r="205" spans="2:9">
      <c r="B205" s="23"/>
      <c r="C205" s="24"/>
      <c r="D205" s="21" t="e">
        <f>_xlfn.XLOOKUP(TabelaAporte[[#This Row],[ID]],Tabela1[[ID ]],Tabela1[Ativo])</f>
        <v>#N/A</v>
      </c>
      <c r="E205" s="23" t="e">
        <f>_xlfn.XLOOKUP(TabelaAporte[[#This Row],[ID]],Tabela1[[ID ]],Tabela1[[ TipoAtivo ]])</f>
        <v>#N/A</v>
      </c>
      <c r="F205" s="23" t="e">
        <f>_xlfn.XLOOKUP(TabelaAporte[[#This Row],[ID]],TabelaGeral[[ID ]],TabelaGeral[[ Setor Segmento]],)</f>
        <v>#N/A</v>
      </c>
      <c r="G205" s="30"/>
      <c r="H205" s="23"/>
      <c r="I205" s="29">
        <f t="shared" si="3"/>
        <v>0</v>
      </c>
    </row>
    <row r="206" spans="2:9">
      <c r="B206" s="23"/>
      <c r="C206" s="24"/>
      <c r="D206" s="21" t="e">
        <f>_xlfn.XLOOKUP(TabelaAporte[[#This Row],[ID]],Tabela1[[ID ]],Tabela1[Ativo])</f>
        <v>#N/A</v>
      </c>
      <c r="E206" s="23" t="e">
        <f>_xlfn.XLOOKUP(TabelaAporte[[#This Row],[ID]],Tabela1[[ID ]],Tabela1[[ TipoAtivo ]])</f>
        <v>#N/A</v>
      </c>
      <c r="F206" s="23" t="e">
        <f>_xlfn.XLOOKUP(TabelaAporte[[#This Row],[ID]],TabelaGeral[[ID ]],TabelaGeral[[ Setor Segmento]],)</f>
        <v>#N/A</v>
      </c>
      <c r="G206" s="30"/>
      <c r="H206" s="23"/>
      <c r="I206" s="29">
        <f t="shared" si="3"/>
        <v>0</v>
      </c>
    </row>
    <row r="207" spans="2:9">
      <c r="B207" s="23"/>
      <c r="C207" s="24"/>
      <c r="D207" s="21" t="e">
        <f>_xlfn.XLOOKUP(TabelaAporte[[#This Row],[ID]],Tabela1[[ID ]],Tabela1[Ativo])</f>
        <v>#N/A</v>
      </c>
      <c r="E207" s="23" t="e">
        <f>_xlfn.XLOOKUP(TabelaAporte[[#This Row],[ID]],Tabela1[[ID ]],Tabela1[[ TipoAtivo ]])</f>
        <v>#N/A</v>
      </c>
      <c r="F207" s="23" t="e">
        <f>_xlfn.XLOOKUP(TabelaAporte[[#This Row],[ID]],TabelaGeral[[ID ]],TabelaGeral[[ Setor Segmento]],)</f>
        <v>#N/A</v>
      </c>
      <c r="G207" s="30"/>
      <c r="H207" s="23"/>
      <c r="I207" s="29">
        <f t="shared" si="3"/>
        <v>0</v>
      </c>
    </row>
    <row r="208" spans="2:9">
      <c r="B208" s="23"/>
      <c r="C208" s="24"/>
      <c r="D208" s="21" t="e">
        <f>_xlfn.XLOOKUP(TabelaAporte[[#This Row],[ID]],Tabela1[[ID ]],Tabela1[Ativo])</f>
        <v>#N/A</v>
      </c>
      <c r="E208" s="23" t="e">
        <f>_xlfn.XLOOKUP(TabelaAporte[[#This Row],[ID]],Tabela1[[ID ]],Tabela1[[ TipoAtivo ]])</f>
        <v>#N/A</v>
      </c>
      <c r="F208" s="23" t="e">
        <f>_xlfn.XLOOKUP(TabelaAporte[[#This Row],[ID]],TabelaGeral[[ID ]],TabelaGeral[[ Setor Segmento]],)</f>
        <v>#N/A</v>
      </c>
      <c r="G208" s="30"/>
      <c r="H208" s="23"/>
      <c r="I208" s="29">
        <f t="shared" si="3"/>
        <v>0</v>
      </c>
    </row>
    <row r="209" spans="2:9">
      <c r="B209" s="23"/>
      <c r="C209" s="24"/>
      <c r="D209" s="21" t="e">
        <f>_xlfn.XLOOKUP(TabelaAporte[[#This Row],[ID]],Tabela1[[ID ]],Tabela1[Ativo])</f>
        <v>#N/A</v>
      </c>
      <c r="E209" s="23" t="e">
        <f>_xlfn.XLOOKUP(TabelaAporte[[#This Row],[ID]],Tabela1[[ID ]],Tabela1[[ TipoAtivo ]])</f>
        <v>#N/A</v>
      </c>
      <c r="F209" s="23" t="e">
        <f>_xlfn.XLOOKUP(TabelaAporte[[#This Row],[ID]],TabelaGeral[[ID ]],TabelaGeral[[ Setor Segmento]],)</f>
        <v>#N/A</v>
      </c>
      <c r="G209" s="30"/>
      <c r="H209" s="23"/>
      <c r="I209" s="29">
        <f t="shared" si="3"/>
        <v>0</v>
      </c>
    </row>
    <row r="210" spans="2:9">
      <c r="B210" s="23"/>
      <c r="C210" s="24"/>
      <c r="D210" s="21" t="e">
        <f>_xlfn.XLOOKUP(TabelaAporte[[#This Row],[ID]],Tabela1[[ID ]],Tabela1[Ativo])</f>
        <v>#N/A</v>
      </c>
      <c r="E210" s="23" t="e">
        <f>_xlfn.XLOOKUP(TabelaAporte[[#This Row],[ID]],Tabela1[[ID ]],Tabela1[[ TipoAtivo ]])</f>
        <v>#N/A</v>
      </c>
      <c r="F210" s="23" t="e">
        <f>_xlfn.XLOOKUP(TabelaAporte[[#This Row],[ID]],TabelaGeral[[ID ]],TabelaGeral[[ Setor Segmento]],)</f>
        <v>#N/A</v>
      </c>
      <c r="G210" s="30"/>
      <c r="H210" s="23"/>
      <c r="I210" s="29">
        <f t="shared" si="3"/>
        <v>0</v>
      </c>
    </row>
    <row r="211" spans="2:9">
      <c r="B211" s="23"/>
      <c r="C211" s="24"/>
      <c r="D211" s="21" t="e">
        <f>_xlfn.XLOOKUP(TabelaAporte[[#This Row],[ID]],Tabela1[[ID ]],Tabela1[Ativo])</f>
        <v>#N/A</v>
      </c>
      <c r="E211" s="23" t="e">
        <f>_xlfn.XLOOKUP(TabelaAporte[[#This Row],[ID]],Tabela1[[ID ]],Tabela1[[ TipoAtivo ]])</f>
        <v>#N/A</v>
      </c>
      <c r="F211" s="23" t="e">
        <f>_xlfn.XLOOKUP(TabelaAporte[[#This Row],[ID]],TabelaGeral[[ID ]],TabelaGeral[[ Setor Segmento]],)</f>
        <v>#N/A</v>
      </c>
      <c r="G211" s="30"/>
      <c r="H211" s="23"/>
      <c r="I211" s="29">
        <f t="shared" si="3"/>
        <v>0</v>
      </c>
    </row>
    <row r="212" spans="2:9">
      <c r="B212" s="23"/>
      <c r="C212" s="24"/>
      <c r="D212" s="21" t="e">
        <f>_xlfn.XLOOKUP(TabelaAporte[[#This Row],[ID]],Tabela1[[ID ]],Tabela1[Ativo])</f>
        <v>#N/A</v>
      </c>
      <c r="E212" s="23" t="e">
        <f>_xlfn.XLOOKUP(TabelaAporte[[#This Row],[ID]],Tabela1[[ID ]],Tabela1[[ TipoAtivo ]])</f>
        <v>#N/A</v>
      </c>
      <c r="F212" s="23" t="e">
        <f>_xlfn.XLOOKUP(TabelaAporte[[#This Row],[ID]],TabelaGeral[[ID ]],TabelaGeral[[ Setor Segmento]],)</f>
        <v>#N/A</v>
      </c>
      <c r="G212" s="30"/>
      <c r="H212" s="23"/>
      <c r="I212" s="29">
        <f t="shared" si="3"/>
        <v>0</v>
      </c>
    </row>
    <row r="213" spans="2:9">
      <c r="B213" s="23"/>
      <c r="C213" s="24"/>
      <c r="D213" s="21" t="e">
        <f>_xlfn.XLOOKUP(TabelaAporte[[#This Row],[ID]],Tabela1[[ID ]],Tabela1[Ativo])</f>
        <v>#N/A</v>
      </c>
      <c r="E213" s="23" t="e">
        <f>_xlfn.XLOOKUP(TabelaAporte[[#This Row],[ID]],Tabela1[[ID ]],Tabela1[[ TipoAtivo ]])</f>
        <v>#N/A</v>
      </c>
      <c r="F213" s="23" t="e">
        <f>_xlfn.XLOOKUP(TabelaAporte[[#This Row],[ID]],TabelaGeral[[ID ]],TabelaGeral[[ Setor Segmento]],)</f>
        <v>#N/A</v>
      </c>
      <c r="G213" s="30"/>
      <c r="H213" s="23"/>
      <c r="I213" s="29">
        <f t="shared" si="3"/>
        <v>0</v>
      </c>
    </row>
    <row r="214" spans="2:9">
      <c r="B214" s="23"/>
      <c r="C214" s="24"/>
      <c r="D214" s="21" t="e">
        <f>_xlfn.XLOOKUP(TabelaAporte[[#This Row],[ID]],Tabela1[[ID ]],Tabela1[Ativo])</f>
        <v>#N/A</v>
      </c>
      <c r="E214" s="23" t="e">
        <f>_xlfn.XLOOKUP(TabelaAporte[[#This Row],[ID]],Tabela1[[ID ]],Tabela1[[ TipoAtivo ]])</f>
        <v>#N/A</v>
      </c>
      <c r="F214" s="23" t="e">
        <f>_xlfn.XLOOKUP(TabelaAporte[[#This Row],[ID]],TabelaGeral[[ID ]],TabelaGeral[[ Setor Segmento]],)</f>
        <v>#N/A</v>
      </c>
      <c r="G214" s="30"/>
      <c r="H214" s="23"/>
      <c r="I214" s="29">
        <f t="shared" si="3"/>
        <v>0</v>
      </c>
    </row>
    <row r="215" spans="2:9">
      <c r="B215" s="23"/>
      <c r="C215" s="24"/>
      <c r="D215" s="21" t="e">
        <f>_xlfn.XLOOKUP(TabelaAporte[[#This Row],[ID]],Tabela1[[ID ]],Tabela1[Ativo])</f>
        <v>#N/A</v>
      </c>
      <c r="E215" s="23" t="e">
        <f>_xlfn.XLOOKUP(TabelaAporte[[#This Row],[ID]],Tabela1[[ID ]],Tabela1[[ TipoAtivo ]])</f>
        <v>#N/A</v>
      </c>
      <c r="F215" s="23" t="e">
        <f>_xlfn.XLOOKUP(TabelaAporte[[#This Row],[ID]],TabelaGeral[[ID ]],TabelaGeral[[ Setor Segmento]],)</f>
        <v>#N/A</v>
      </c>
      <c r="G215" s="30"/>
      <c r="H215" s="23"/>
      <c r="I215" s="29">
        <f t="shared" si="3"/>
        <v>0</v>
      </c>
    </row>
    <row r="216" spans="2:9">
      <c r="B216" s="23"/>
      <c r="C216" s="24"/>
      <c r="D216" s="21" t="e">
        <f>_xlfn.XLOOKUP(TabelaAporte[[#This Row],[ID]],Tabela1[[ID ]],Tabela1[Ativo])</f>
        <v>#N/A</v>
      </c>
      <c r="E216" s="23" t="e">
        <f>_xlfn.XLOOKUP(TabelaAporte[[#This Row],[ID]],Tabela1[[ID ]],Tabela1[[ TipoAtivo ]])</f>
        <v>#N/A</v>
      </c>
      <c r="F216" s="23" t="e">
        <f>_xlfn.XLOOKUP(TabelaAporte[[#This Row],[ID]],TabelaGeral[[ID ]],TabelaGeral[[ Setor Segmento]],)</f>
        <v>#N/A</v>
      </c>
      <c r="G216" s="30"/>
      <c r="H216" s="23"/>
      <c r="I216" s="29">
        <f t="shared" si="3"/>
        <v>0</v>
      </c>
    </row>
    <row r="217" spans="2:9">
      <c r="B217" s="23"/>
      <c r="C217" s="24"/>
      <c r="D217" s="21" t="e">
        <f>_xlfn.XLOOKUP(TabelaAporte[[#This Row],[ID]],Tabela1[[ID ]],Tabela1[Ativo])</f>
        <v>#N/A</v>
      </c>
      <c r="E217" s="23" t="e">
        <f>_xlfn.XLOOKUP(TabelaAporte[[#This Row],[ID]],Tabela1[[ID ]],Tabela1[[ TipoAtivo ]])</f>
        <v>#N/A</v>
      </c>
      <c r="F217" s="23" t="e">
        <f>_xlfn.XLOOKUP(TabelaAporte[[#This Row],[ID]],TabelaGeral[[ID ]],TabelaGeral[[ Setor Segmento]],)</f>
        <v>#N/A</v>
      </c>
      <c r="G217" s="30"/>
      <c r="H217" s="23"/>
      <c r="I217" s="29">
        <f t="shared" si="3"/>
        <v>0</v>
      </c>
    </row>
    <row r="218" spans="2:9">
      <c r="B218" s="23"/>
      <c r="C218" s="24"/>
      <c r="D218" s="21" t="e">
        <f>_xlfn.XLOOKUP(TabelaAporte[[#This Row],[ID]],Tabela1[[ID ]],Tabela1[Ativo])</f>
        <v>#N/A</v>
      </c>
      <c r="E218" s="23" t="e">
        <f>_xlfn.XLOOKUP(TabelaAporte[[#This Row],[ID]],Tabela1[[ID ]],Tabela1[[ TipoAtivo ]])</f>
        <v>#N/A</v>
      </c>
      <c r="F218" s="23" t="e">
        <f>_xlfn.XLOOKUP(TabelaAporte[[#This Row],[ID]],TabelaGeral[[ID ]],TabelaGeral[[ Setor Segmento]],)</f>
        <v>#N/A</v>
      </c>
      <c r="G218" s="30"/>
      <c r="H218" s="23"/>
      <c r="I218" s="29">
        <f t="shared" si="3"/>
        <v>0</v>
      </c>
    </row>
    <row r="219" spans="2:9">
      <c r="B219" s="23"/>
      <c r="C219" s="24"/>
      <c r="D219" s="21" t="e">
        <f>_xlfn.XLOOKUP(TabelaAporte[[#This Row],[ID]],Tabela1[[ID ]],Tabela1[Ativo])</f>
        <v>#N/A</v>
      </c>
      <c r="E219" s="23" t="e">
        <f>_xlfn.XLOOKUP(TabelaAporte[[#This Row],[ID]],Tabela1[[ID ]],Tabela1[[ TipoAtivo ]])</f>
        <v>#N/A</v>
      </c>
      <c r="F219" s="23" t="e">
        <f>_xlfn.XLOOKUP(TabelaAporte[[#This Row],[ID]],TabelaGeral[[ID ]],TabelaGeral[[ Setor Segmento]],)</f>
        <v>#N/A</v>
      </c>
      <c r="G219" s="30"/>
      <c r="H219" s="23"/>
      <c r="I219" s="29">
        <f t="shared" si="3"/>
        <v>0</v>
      </c>
    </row>
    <row r="220" spans="2:9">
      <c r="B220" s="23"/>
      <c r="C220" s="24"/>
      <c r="D220" s="21" t="e">
        <f>_xlfn.XLOOKUP(TabelaAporte[[#This Row],[ID]],Tabela1[[ID ]],Tabela1[Ativo])</f>
        <v>#N/A</v>
      </c>
      <c r="E220" s="23" t="e">
        <f>_xlfn.XLOOKUP(TabelaAporte[[#This Row],[ID]],Tabela1[[ID ]],Tabela1[[ TipoAtivo ]])</f>
        <v>#N/A</v>
      </c>
      <c r="F220" s="23" t="e">
        <f>_xlfn.XLOOKUP(TabelaAporte[[#This Row],[ID]],TabelaGeral[[ID ]],TabelaGeral[[ Setor Segmento]],)</f>
        <v>#N/A</v>
      </c>
      <c r="G220" s="30"/>
      <c r="H220" s="23"/>
      <c r="I220" s="29">
        <f t="shared" si="3"/>
        <v>0</v>
      </c>
    </row>
    <row r="221" spans="2:9">
      <c r="B221" s="23"/>
      <c r="C221" s="24"/>
      <c r="D221" s="21" t="e">
        <f>_xlfn.XLOOKUP(TabelaAporte[[#This Row],[ID]],Tabela1[[ID ]],Tabela1[Ativo])</f>
        <v>#N/A</v>
      </c>
      <c r="E221" s="23" t="e">
        <f>_xlfn.XLOOKUP(TabelaAporte[[#This Row],[ID]],Tabela1[[ID ]],Tabela1[[ TipoAtivo ]])</f>
        <v>#N/A</v>
      </c>
      <c r="F221" s="23" t="e">
        <f>_xlfn.XLOOKUP(TabelaAporte[[#This Row],[ID]],TabelaGeral[[ID ]],TabelaGeral[[ Setor Segmento]],)</f>
        <v>#N/A</v>
      </c>
      <c r="G221" s="30"/>
      <c r="H221" s="23"/>
      <c r="I221" s="29">
        <f t="shared" si="3"/>
        <v>0</v>
      </c>
    </row>
    <row r="222" spans="2:9">
      <c r="B222" s="23"/>
      <c r="C222" s="24"/>
      <c r="D222" s="21" t="e">
        <f>_xlfn.XLOOKUP(TabelaAporte[[#This Row],[ID]],Tabela1[[ID ]],Tabela1[Ativo])</f>
        <v>#N/A</v>
      </c>
      <c r="E222" s="23" t="e">
        <f>_xlfn.XLOOKUP(TabelaAporte[[#This Row],[ID]],Tabela1[[ID ]],Tabela1[[ TipoAtivo ]])</f>
        <v>#N/A</v>
      </c>
      <c r="F222" s="23" t="e">
        <f>_xlfn.XLOOKUP(TabelaAporte[[#This Row],[ID]],TabelaGeral[[ID ]],TabelaGeral[[ Setor Segmento]],)</f>
        <v>#N/A</v>
      </c>
      <c r="G222" s="30"/>
      <c r="H222" s="23"/>
      <c r="I222" s="29">
        <f t="shared" si="3"/>
        <v>0</v>
      </c>
    </row>
    <row r="223" spans="2:9">
      <c r="B223" s="23"/>
      <c r="C223" s="24"/>
      <c r="D223" s="21" t="e">
        <f>_xlfn.XLOOKUP(TabelaAporte[[#This Row],[ID]],Tabela1[[ID ]],Tabela1[Ativo])</f>
        <v>#N/A</v>
      </c>
      <c r="E223" s="23" t="e">
        <f>_xlfn.XLOOKUP(TabelaAporte[[#This Row],[ID]],Tabela1[[ID ]],Tabela1[[ TipoAtivo ]])</f>
        <v>#N/A</v>
      </c>
      <c r="F223" s="23" t="e">
        <f>_xlfn.XLOOKUP(TabelaAporte[[#This Row],[ID]],TabelaGeral[[ID ]],TabelaGeral[[ Setor Segmento]],)</f>
        <v>#N/A</v>
      </c>
      <c r="G223" s="30"/>
      <c r="H223" s="23"/>
      <c r="I223" s="29">
        <f t="shared" si="3"/>
        <v>0</v>
      </c>
    </row>
    <row r="224" spans="2:9">
      <c r="B224" s="23"/>
      <c r="C224" s="24"/>
      <c r="D224" s="21" t="e">
        <f>_xlfn.XLOOKUP(TabelaAporte[[#This Row],[ID]],Tabela1[[ID ]],Tabela1[Ativo])</f>
        <v>#N/A</v>
      </c>
      <c r="E224" s="23" t="e">
        <f>_xlfn.XLOOKUP(TabelaAporte[[#This Row],[ID]],Tabela1[[ID ]],Tabela1[[ TipoAtivo ]])</f>
        <v>#N/A</v>
      </c>
      <c r="F224" s="23" t="e">
        <f>_xlfn.XLOOKUP(TabelaAporte[[#This Row],[ID]],TabelaGeral[[ID ]],TabelaGeral[[ Setor Segmento]],)</f>
        <v>#N/A</v>
      </c>
      <c r="G224" s="30"/>
      <c r="H224" s="23"/>
      <c r="I224" s="29">
        <f t="shared" si="3"/>
        <v>0</v>
      </c>
    </row>
    <row r="225" spans="2:9">
      <c r="B225" s="23"/>
      <c r="C225" s="24"/>
      <c r="D225" s="21" t="e">
        <f>_xlfn.XLOOKUP(TabelaAporte[[#This Row],[ID]],Tabela1[[ID ]],Tabela1[Ativo])</f>
        <v>#N/A</v>
      </c>
      <c r="E225" s="23" t="e">
        <f>_xlfn.XLOOKUP(TabelaAporte[[#This Row],[ID]],Tabela1[[ID ]],Tabela1[[ TipoAtivo ]])</f>
        <v>#N/A</v>
      </c>
      <c r="F225" s="23" t="e">
        <f>_xlfn.XLOOKUP(TabelaAporte[[#This Row],[ID]],TabelaGeral[[ID ]],TabelaGeral[[ Setor Segmento]],)</f>
        <v>#N/A</v>
      </c>
      <c r="G225" s="30"/>
      <c r="H225" s="23"/>
      <c r="I225" s="29">
        <f t="shared" si="3"/>
        <v>0</v>
      </c>
    </row>
    <row r="226" spans="2:9">
      <c r="B226" s="23"/>
      <c r="C226" s="24"/>
      <c r="D226" s="21" t="e">
        <f>_xlfn.XLOOKUP(TabelaAporte[[#This Row],[ID]],Tabela1[[ID ]],Tabela1[Ativo])</f>
        <v>#N/A</v>
      </c>
      <c r="E226" s="23" t="e">
        <f>_xlfn.XLOOKUP(TabelaAporte[[#This Row],[ID]],Tabela1[[ID ]],Tabela1[[ TipoAtivo ]])</f>
        <v>#N/A</v>
      </c>
      <c r="F226" s="23" t="e">
        <f>_xlfn.XLOOKUP(TabelaAporte[[#This Row],[ID]],TabelaGeral[[ID ]],TabelaGeral[[ Setor Segmento]],)</f>
        <v>#N/A</v>
      </c>
      <c r="G226" s="30"/>
      <c r="H226" s="23"/>
      <c r="I226" s="29">
        <f t="shared" si="3"/>
        <v>0</v>
      </c>
    </row>
    <row r="227" spans="2:9">
      <c r="B227" s="23"/>
      <c r="C227" s="24"/>
      <c r="D227" s="21" t="e">
        <f>_xlfn.XLOOKUP(TabelaAporte[[#This Row],[ID]],Tabela1[[ID ]],Tabela1[Ativo])</f>
        <v>#N/A</v>
      </c>
      <c r="E227" s="23" t="e">
        <f>_xlfn.XLOOKUP(TabelaAporte[[#This Row],[ID]],Tabela1[[ID ]],Tabela1[[ TipoAtivo ]])</f>
        <v>#N/A</v>
      </c>
      <c r="F227" s="23" t="e">
        <f>_xlfn.XLOOKUP(TabelaAporte[[#This Row],[ID]],TabelaGeral[[ID ]],TabelaGeral[[ Setor Segmento]],)</f>
        <v>#N/A</v>
      </c>
      <c r="G227" s="30"/>
      <c r="H227" s="23"/>
      <c r="I227" s="29">
        <f t="shared" si="3"/>
        <v>0</v>
      </c>
    </row>
    <row r="228" spans="2:9">
      <c r="B228" s="23"/>
      <c r="C228" s="24"/>
      <c r="D228" s="21" t="e">
        <f>_xlfn.XLOOKUP(TabelaAporte[[#This Row],[ID]],Tabela1[[ID ]],Tabela1[Ativo])</f>
        <v>#N/A</v>
      </c>
      <c r="E228" s="23" t="e">
        <f>_xlfn.XLOOKUP(TabelaAporte[[#This Row],[ID]],Tabela1[[ID ]],Tabela1[[ TipoAtivo ]])</f>
        <v>#N/A</v>
      </c>
      <c r="F228" s="23" t="e">
        <f>_xlfn.XLOOKUP(TabelaAporte[[#This Row],[ID]],TabelaGeral[[ID ]],TabelaGeral[[ Setor Segmento]],)</f>
        <v>#N/A</v>
      </c>
      <c r="G228" s="30"/>
      <c r="H228" s="23"/>
      <c r="I228" s="29">
        <f t="shared" si="3"/>
        <v>0</v>
      </c>
    </row>
    <row r="229" spans="2:9">
      <c r="B229" s="23"/>
      <c r="C229" s="24"/>
      <c r="D229" s="21" t="e">
        <f>_xlfn.XLOOKUP(TabelaAporte[[#This Row],[ID]],Tabela1[[ID ]],Tabela1[Ativo])</f>
        <v>#N/A</v>
      </c>
      <c r="E229" s="23" t="e">
        <f>_xlfn.XLOOKUP(TabelaAporte[[#This Row],[ID]],Tabela1[[ID ]],Tabela1[[ TipoAtivo ]])</f>
        <v>#N/A</v>
      </c>
      <c r="F229" s="23" t="e">
        <f>_xlfn.XLOOKUP(TabelaAporte[[#This Row],[ID]],TabelaGeral[[ID ]],TabelaGeral[[ Setor Segmento]],)</f>
        <v>#N/A</v>
      </c>
      <c r="G229" s="30"/>
      <c r="H229" s="23"/>
      <c r="I229" s="29">
        <f t="shared" si="3"/>
        <v>0</v>
      </c>
    </row>
    <row r="230" spans="2:9">
      <c r="B230" s="23"/>
      <c r="C230" s="24"/>
      <c r="D230" s="21" t="e">
        <f>_xlfn.XLOOKUP(TabelaAporte[[#This Row],[ID]],Tabela1[[ID ]],Tabela1[Ativo])</f>
        <v>#N/A</v>
      </c>
      <c r="E230" s="23" t="e">
        <f>_xlfn.XLOOKUP(TabelaAporte[[#This Row],[ID]],Tabela1[[ID ]],Tabela1[[ TipoAtivo ]])</f>
        <v>#N/A</v>
      </c>
      <c r="F230" s="23" t="e">
        <f>_xlfn.XLOOKUP(TabelaAporte[[#This Row],[ID]],TabelaGeral[[ID ]],TabelaGeral[[ Setor Segmento]],)</f>
        <v>#N/A</v>
      </c>
      <c r="G230" s="30"/>
      <c r="H230" s="23"/>
      <c r="I230" s="29">
        <f t="shared" si="3"/>
        <v>0</v>
      </c>
    </row>
    <row r="231" spans="2:9">
      <c r="B231" s="23"/>
      <c r="C231" s="24"/>
      <c r="D231" s="21" t="e">
        <f>_xlfn.XLOOKUP(TabelaAporte[[#This Row],[ID]],Tabela1[[ID ]],Tabela1[Ativo])</f>
        <v>#N/A</v>
      </c>
      <c r="E231" s="23" t="e">
        <f>_xlfn.XLOOKUP(TabelaAporte[[#This Row],[ID]],Tabela1[[ID ]],Tabela1[[ TipoAtivo ]])</f>
        <v>#N/A</v>
      </c>
      <c r="F231" s="23" t="e">
        <f>_xlfn.XLOOKUP(TabelaAporte[[#This Row],[ID]],TabelaGeral[[ID ]],TabelaGeral[[ Setor Segmento]],)</f>
        <v>#N/A</v>
      </c>
      <c r="G231" s="30"/>
      <c r="H231" s="23"/>
      <c r="I231" s="29">
        <f t="shared" si="3"/>
        <v>0</v>
      </c>
    </row>
    <row r="232" spans="2:9">
      <c r="B232" s="23"/>
      <c r="C232" s="24"/>
      <c r="D232" s="21" t="e">
        <f>_xlfn.XLOOKUP(TabelaAporte[[#This Row],[ID]],Tabela1[[ID ]],Tabela1[Ativo])</f>
        <v>#N/A</v>
      </c>
      <c r="E232" s="23" t="e">
        <f>_xlfn.XLOOKUP(TabelaAporte[[#This Row],[ID]],Tabela1[[ID ]],Tabela1[[ TipoAtivo ]])</f>
        <v>#N/A</v>
      </c>
      <c r="F232" s="23" t="e">
        <f>_xlfn.XLOOKUP(TabelaAporte[[#This Row],[ID]],TabelaGeral[[ID ]],TabelaGeral[[ Setor Segmento]],)</f>
        <v>#N/A</v>
      </c>
      <c r="G232" s="30"/>
      <c r="H232" s="23"/>
      <c r="I232" s="29">
        <f t="shared" si="3"/>
        <v>0</v>
      </c>
    </row>
    <row r="233" spans="2:9">
      <c r="B233" s="23"/>
      <c r="C233" s="24"/>
      <c r="D233" s="21" t="e">
        <f>_xlfn.XLOOKUP(TabelaAporte[[#This Row],[ID]],Tabela1[[ID ]],Tabela1[Ativo])</f>
        <v>#N/A</v>
      </c>
      <c r="E233" s="23" t="e">
        <f>_xlfn.XLOOKUP(TabelaAporte[[#This Row],[ID]],Tabela1[[ID ]],Tabela1[[ TipoAtivo ]])</f>
        <v>#N/A</v>
      </c>
      <c r="F233" s="23" t="e">
        <f>_xlfn.XLOOKUP(TabelaAporte[[#This Row],[ID]],TabelaGeral[[ID ]],TabelaGeral[[ Setor Segmento]],)</f>
        <v>#N/A</v>
      </c>
      <c r="G233" s="30"/>
      <c r="H233" s="23"/>
      <c r="I233" s="29">
        <f t="shared" si="3"/>
        <v>0</v>
      </c>
    </row>
    <row r="234" spans="2:9">
      <c r="B234" s="23"/>
      <c r="C234" s="24"/>
      <c r="D234" s="21" t="e">
        <f>_xlfn.XLOOKUP(TabelaAporte[[#This Row],[ID]],Tabela1[[ID ]],Tabela1[Ativo])</f>
        <v>#N/A</v>
      </c>
      <c r="E234" s="23" t="e">
        <f>_xlfn.XLOOKUP(TabelaAporte[[#This Row],[ID]],Tabela1[[ID ]],Tabela1[[ TipoAtivo ]])</f>
        <v>#N/A</v>
      </c>
      <c r="F234" s="23" t="e">
        <f>_xlfn.XLOOKUP(TabelaAporte[[#This Row],[ID]],TabelaGeral[[ID ]],TabelaGeral[[ Setor Segmento]],)</f>
        <v>#N/A</v>
      </c>
      <c r="G234" s="30"/>
      <c r="H234" s="23"/>
      <c r="I234" s="29">
        <f t="shared" si="3"/>
        <v>0</v>
      </c>
    </row>
    <row r="235" spans="2:9">
      <c r="B235" s="23"/>
      <c r="C235" s="24"/>
      <c r="D235" s="21" t="e">
        <f>_xlfn.XLOOKUP(TabelaAporte[[#This Row],[ID]],Tabela1[[ID ]],Tabela1[Ativo])</f>
        <v>#N/A</v>
      </c>
      <c r="E235" s="23" t="e">
        <f>_xlfn.XLOOKUP(TabelaAporte[[#This Row],[ID]],Tabela1[[ID ]],Tabela1[[ TipoAtivo ]])</f>
        <v>#N/A</v>
      </c>
      <c r="F235" s="23" t="e">
        <f>_xlfn.XLOOKUP(TabelaAporte[[#This Row],[ID]],TabelaGeral[[ID ]],TabelaGeral[[ Setor Segmento]],)</f>
        <v>#N/A</v>
      </c>
      <c r="G235" s="30"/>
      <c r="H235" s="23"/>
      <c r="I235" s="29">
        <f t="shared" si="3"/>
        <v>0</v>
      </c>
    </row>
    <row r="236" spans="2:9">
      <c r="B236" s="23"/>
      <c r="C236" s="24"/>
      <c r="D236" s="21" t="e">
        <f>_xlfn.XLOOKUP(TabelaAporte[[#This Row],[ID]],Tabela1[[ID ]],Tabela1[Ativo])</f>
        <v>#N/A</v>
      </c>
      <c r="E236" s="23" t="e">
        <f>_xlfn.XLOOKUP(TabelaAporte[[#This Row],[ID]],Tabela1[[ID ]],Tabela1[[ TipoAtivo ]])</f>
        <v>#N/A</v>
      </c>
      <c r="F236" s="23" t="e">
        <f>_xlfn.XLOOKUP(TabelaAporte[[#This Row],[ID]],TabelaGeral[[ID ]],TabelaGeral[[ Setor Segmento]],)</f>
        <v>#N/A</v>
      </c>
      <c r="G236" s="30"/>
      <c r="H236" s="23"/>
      <c r="I236" s="29">
        <f t="shared" si="3"/>
        <v>0</v>
      </c>
    </row>
    <row r="237" spans="2:9">
      <c r="B237" s="23"/>
      <c r="C237" s="24"/>
      <c r="D237" s="21" t="e">
        <f>_xlfn.XLOOKUP(TabelaAporte[[#This Row],[ID]],Tabela1[[ID ]],Tabela1[Ativo])</f>
        <v>#N/A</v>
      </c>
      <c r="E237" s="23" t="e">
        <f>_xlfn.XLOOKUP(TabelaAporte[[#This Row],[ID]],Tabela1[[ID ]],Tabela1[[ TipoAtivo ]])</f>
        <v>#N/A</v>
      </c>
      <c r="F237" s="23" t="e">
        <f>_xlfn.XLOOKUP(TabelaAporte[[#This Row],[ID]],TabelaGeral[[ID ]],TabelaGeral[[ Setor Segmento]],)</f>
        <v>#N/A</v>
      </c>
      <c r="G237" s="30"/>
      <c r="H237" s="23"/>
      <c r="I237" s="29">
        <f t="shared" si="3"/>
        <v>0</v>
      </c>
    </row>
    <row r="238" spans="2:9">
      <c r="B238" s="23"/>
      <c r="C238" s="24"/>
      <c r="D238" s="21" t="e">
        <f>_xlfn.XLOOKUP(TabelaAporte[[#This Row],[ID]],Tabela1[[ID ]],Tabela1[Ativo])</f>
        <v>#N/A</v>
      </c>
      <c r="E238" s="23" t="e">
        <f>_xlfn.XLOOKUP(TabelaAporte[[#This Row],[ID]],Tabela1[[ID ]],Tabela1[[ TipoAtivo ]])</f>
        <v>#N/A</v>
      </c>
      <c r="F238" s="23" t="e">
        <f>_xlfn.XLOOKUP(TabelaAporte[[#This Row],[ID]],TabelaGeral[[ID ]],TabelaGeral[[ Setor Segmento]],)</f>
        <v>#N/A</v>
      </c>
      <c r="G238" s="30"/>
      <c r="H238" s="23"/>
      <c r="I238" s="29">
        <f t="shared" si="3"/>
        <v>0</v>
      </c>
    </row>
    <row r="239" spans="2:9">
      <c r="B239" s="23"/>
      <c r="C239" s="24"/>
      <c r="D239" s="21" t="e">
        <f>_xlfn.XLOOKUP(TabelaAporte[[#This Row],[ID]],Tabela1[[ID ]],Tabela1[Ativo])</f>
        <v>#N/A</v>
      </c>
      <c r="E239" s="23" t="e">
        <f>_xlfn.XLOOKUP(TabelaAporte[[#This Row],[ID]],Tabela1[[ID ]],Tabela1[[ TipoAtivo ]])</f>
        <v>#N/A</v>
      </c>
      <c r="F239" s="23" t="e">
        <f>_xlfn.XLOOKUP(TabelaAporte[[#This Row],[ID]],TabelaGeral[[ID ]],TabelaGeral[[ Setor Segmento]],)</f>
        <v>#N/A</v>
      </c>
      <c r="G239" s="30"/>
      <c r="H239" s="23"/>
      <c r="I239" s="29">
        <f t="shared" si="3"/>
        <v>0</v>
      </c>
    </row>
    <row r="240" spans="2:9">
      <c r="B240" s="23"/>
      <c r="C240" s="24"/>
      <c r="D240" s="21" t="e">
        <f>_xlfn.XLOOKUP(TabelaAporte[[#This Row],[ID]],Tabela1[[ID ]],Tabela1[Ativo])</f>
        <v>#N/A</v>
      </c>
      <c r="E240" s="23" t="e">
        <f>_xlfn.XLOOKUP(TabelaAporte[[#This Row],[ID]],Tabela1[[ID ]],Tabela1[[ TipoAtivo ]])</f>
        <v>#N/A</v>
      </c>
      <c r="F240" s="23" t="e">
        <f>_xlfn.XLOOKUP(TabelaAporte[[#This Row],[ID]],TabelaGeral[[ID ]],TabelaGeral[[ Setor Segmento]],)</f>
        <v>#N/A</v>
      </c>
      <c r="G240" s="30"/>
      <c r="H240" s="23"/>
      <c r="I240" s="29">
        <f t="shared" si="3"/>
        <v>0</v>
      </c>
    </row>
    <row r="241" spans="2:9">
      <c r="B241" s="23"/>
      <c r="C241" s="24"/>
      <c r="D241" s="21" t="e">
        <f>_xlfn.XLOOKUP(TabelaAporte[[#This Row],[ID]],Tabela1[[ID ]],Tabela1[Ativo])</f>
        <v>#N/A</v>
      </c>
      <c r="E241" s="23" t="e">
        <f>_xlfn.XLOOKUP(TabelaAporte[[#This Row],[ID]],Tabela1[[ID ]],Tabela1[[ TipoAtivo ]])</f>
        <v>#N/A</v>
      </c>
      <c r="F241" s="23" t="e">
        <f>_xlfn.XLOOKUP(TabelaAporte[[#This Row],[ID]],TabelaGeral[[ID ]],TabelaGeral[[ Setor Segmento]],)</f>
        <v>#N/A</v>
      </c>
      <c r="G241" s="30"/>
      <c r="H241" s="23"/>
      <c r="I241" s="29">
        <f t="shared" si="3"/>
        <v>0</v>
      </c>
    </row>
    <row r="242" spans="2:9">
      <c r="B242" s="23"/>
      <c r="C242" s="24"/>
      <c r="D242" s="21" t="e">
        <f>_xlfn.XLOOKUP(TabelaAporte[[#This Row],[ID]],Tabela1[[ID ]],Tabela1[Ativo])</f>
        <v>#N/A</v>
      </c>
      <c r="E242" s="23" t="e">
        <f>_xlfn.XLOOKUP(TabelaAporte[[#This Row],[ID]],Tabela1[[ID ]],Tabela1[[ TipoAtivo ]])</f>
        <v>#N/A</v>
      </c>
      <c r="F242" s="23" t="e">
        <f>_xlfn.XLOOKUP(TabelaAporte[[#This Row],[ID]],TabelaGeral[[ID ]],TabelaGeral[[ Setor Segmento]],)</f>
        <v>#N/A</v>
      </c>
      <c r="G242" s="30"/>
      <c r="H242" s="23"/>
      <c r="I242" s="29">
        <f t="shared" si="3"/>
        <v>0</v>
      </c>
    </row>
    <row r="243" spans="2:9">
      <c r="B243" s="23"/>
      <c r="C243" s="24"/>
      <c r="D243" s="21" t="e">
        <f>_xlfn.XLOOKUP(TabelaAporte[[#This Row],[ID]],Tabela1[[ID ]],Tabela1[Ativo])</f>
        <v>#N/A</v>
      </c>
      <c r="E243" s="23" t="e">
        <f>_xlfn.XLOOKUP(TabelaAporte[[#This Row],[ID]],Tabela1[[ID ]],Tabela1[[ TipoAtivo ]])</f>
        <v>#N/A</v>
      </c>
      <c r="F243" s="23" t="e">
        <f>_xlfn.XLOOKUP(TabelaAporte[[#This Row],[ID]],TabelaGeral[[ID ]],TabelaGeral[[ Setor Segmento]],)</f>
        <v>#N/A</v>
      </c>
      <c r="G243" s="30"/>
      <c r="H243" s="23"/>
      <c r="I243" s="29">
        <f t="shared" si="3"/>
        <v>0</v>
      </c>
    </row>
    <row r="244" spans="2:9">
      <c r="B244" s="23"/>
      <c r="C244" s="24"/>
      <c r="D244" s="21" t="e">
        <f>_xlfn.XLOOKUP(TabelaAporte[[#This Row],[ID]],Tabela1[[ID ]],Tabela1[Ativo])</f>
        <v>#N/A</v>
      </c>
      <c r="E244" s="23" t="e">
        <f>_xlfn.XLOOKUP(TabelaAporte[[#This Row],[ID]],Tabela1[[ID ]],Tabela1[[ TipoAtivo ]])</f>
        <v>#N/A</v>
      </c>
      <c r="F244" s="23" t="e">
        <f>_xlfn.XLOOKUP(TabelaAporte[[#This Row],[ID]],TabelaGeral[[ID ]],TabelaGeral[[ Setor Segmento]],)</f>
        <v>#N/A</v>
      </c>
      <c r="G244" s="30"/>
      <c r="H244" s="23"/>
      <c r="I244" s="29">
        <f t="shared" si="3"/>
        <v>0</v>
      </c>
    </row>
    <row r="245" spans="2:9">
      <c r="B245" s="23"/>
      <c r="C245" s="24"/>
      <c r="D245" s="21" t="e">
        <f>_xlfn.XLOOKUP(TabelaAporte[[#This Row],[ID]],Tabela1[[ID ]],Tabela1[Ativo])</f>
        <v>#N/A</v>
      </c>
      <c r="E245" s="23" t="e">
        <f>_xlfn.XLOOKUP(TabelaAporte[[#This Row],[ID]],Tabela1[[ID ]],Tabela1[[ TipoAtivo ]])</f>
        <v>#N/A</v>
      </c>
      <c r="F245" s="23" t="e">
        <f>_xlfn.XLOOKUP(TabelaAporte[[#This Row],[ID]],TabelaGeral[[ID ]],TabelaGeral[[ Setor Segmento]],)</f>
        <v>#N/A</v>
      </c>
      <c r="G245" s="30"/>
      <c r="H245" s="23"/>
      <c r="I245" s="29">
        <f t="shared" si="3"/>
        <v>0</v>
      </c>
    </row>
    <row r="246" spans="2:9">
      <c r="B246" s="23"/>
      <c r="C246" s="24"/>
      <c r="D246" s="21" t="e">
        <f>_xlfn.XLOOKUP(TabelaAporte[[#This Row],[ID]],Tabela1[[ID ]],Tabela1[Ativo])</f>
        <v>#N/A</v>
      </c>
      <c r="E246" s="23" t="e">
        <f>_xlfn.XLOOKUP(TabelaAporte[[#This Row],[ID]],Tabela1[[ID ]],Tabela1[[ TipoAtivo ]])</f>
        <v>#N/A</v>
      </c>
      <c r="F246" s="23" t="e">
        <f>_xlfn.XLOOKUP(TabelaAporte[[#This Row],[ID]],TabelaGeral[[ID ]],TabelaGeral[[ Setor Segmento]],)</f>
        <v>#N/A</v>
      </c>
      <c r="G246" s="30"/>
      <c r="H246" s="23"/>
      <c r="I246" s="29">
        <f t="shared" si="3"/>
        <v>0</v>
      </c>
    </row>
    <row r="247" spans="2:9">
      <c r="B247" s="23"/>
      <c r="C247" s="24"/>
      <c r="D247" s="21" t="e">
        <f>_xlfn.XLOOKUP(TabelaAporte[[#This Row],[ID]],Tabela1[[ID ]],Tabela1[Ativo])</f>
        <v>#N/A</v>
      </c>
      <c r="E247" s="23" t="e">
        <f>_xlfn.XLOOKUP(TabelaAporte[[#This Row],[ID]],Tabela1[[ID ]],Tabela1[[ TipoAtivo ]])</f>
        <v>#N/A</v>
      </c>
      <c r="F247" s="23" t="e">
        <f>_xlfn.XLOOKUP(TabelaAporte[[#This Row],[ID]],TabelaGeral[[ID ]],TabelaGeral[[ Setor Segmento]],)</f>
        <v>#N/A</v>
      </c>
      <c r="G247" s="30"/>
      <c r="H247" s="23"/>
      <c r="I247" s="29">
        <f t="shared" si="3"/>
        <v>0</v>
      </c>
    </row>
    <row r="248" spans="2:9">
      <c r="B248" s="23"/>
      <c r="C248" s="24"/>
      <c r="D248" s="21" t="e">
        <f>_xlfn.XLOOKUP(TabelaAporte[[#This Row],[ID]],Tabela1[[ID ]],Tabela1[Ativo])</f>
        <v>#N/A</v>
      </c>
      <c r="E248" s="23" t="e">
        <f>_xlfn.XLOOKUP(TabelaAporte[[#This Row],[ID]],Tabela1[[ID ]],Tabela1[[ TipoAtivo ]])</f>
        <v>#N/A</v>
      </c>
      <c r="F248" s="23" t="e">
        <f>_xlfn.XLOOKUP(TabelaAporte[[#This Row],[ID]],TabelaGeral[[ID ]],TabelaGeral[[ Setor Segmento]],)</f>
        <v>#N/A</v>
      </c>
      <c r="G248" s="30"/>
      <c r="H248" s="23"/>
      <c r="I248" s="29">
        <f t="shared" si="3"/>
        <v>0</v>
      </c>
    </row>
    <row r="249" spans="2:9">
      <c r="B249" s="23"/>
      <c r="C249" s="24"/>
      <c r="D249" s="21" t="e">
        <f>_xlfn.XLOOKUP(TabelaAporte[[#This Row],[ID]],Tabela1[[ID ]],Tabela1[Ativo])</f>
        <v>#N/A</v>
      </c>
      <c r="E249" s="23" t="e">
        <f>_xlfn.XLOOKUP(TabelaAporte[[#This Row],[ID]],Tabela1[[ID ]],Tabela1[[ TipoAtivo ]])</f>
        <v>#N/A</v>
      </c>
      <c r="F249" s="23" t="e">
        <f>_xlfn.XLOOKUP(TabelaAporte[[#This Row],[ID]],TabelaGeral[[ID ]],TabelaGeral[[ Setor Segmento]],)</f>
        <v>#N/A</v>
      </c>
      <c r="G249" s="30"/>
      <c r="H249" s="23"/>
      <c r="I249" s="29">
        <f t="shared" si="3"/>
        <v>0</v>
      </c>
    </row>
    <row r="250" spans="2:9">
      <c r="B250" s="23"/>
      <c r="C250" s="24"/>
      <c r="D250" s="21" t="e">
        <f>_xlfn.XLOOKUP(TabelaAporte[[#This Row],[ID]],Tabela1[[ID ]],Tabela1[Ativo])</f>
        <v>#N/A</v>
      </c>
      <c r="E250" s="23" t="e">
        <f>_xlfn.XLOOKUP(TabelaAporte[[#This Row],[ID]],Tabela1[[ID ]],Tabela1[[ TipoAtivo ]])</f>
        <v>#N/A</v>
      </c>
      <c r="F250" s="23" t="e">
        <f>_xlfn.XLOOKUP(TabelaAporte[[#This Row],[ID]],TabelaGeral[[ID ]],TabelaGeral[[ Setor Segmento]],)</f>
        <v>#N/A</v>
      </c>
      <c r="G250" s="30"/>
      <c r="H250" s="23"/>
      <c r="I250" s="29">
        <f t="shared" si="3"/>
        <v>0</v>
      </c>
    </row>
    <row r="251" spans="2:9">
      <c r="B251" s="23"/>
      <c r="C251" s="24"/>
      <c r="D251" s="21" t="e">
        <f>_xlfn.XLOOKUP(TabelaAporte[[#This Row],[ID]],Tabela1[[ID ]],Tabela1[Ativo])</f>
        <v>#N/A</v>
      </c>
      <c r="E251" s="23" t="e">
        <f>_xlfn.XLOOKUP(TabelaAporte[[#This Row],[ID]],Tabela1[[ID ]],Tabela1[[ TipoAtivo ]])</f>
        <v>#N/A</v>
      </c>
      <c r="F251" s="23" t="e">
        <f>_xlfn.XLOOKUP(TabelaAporte[[#This Row],[ID]],TabelaGeral[[ID ]],TabelaGeral[[ Setor Segmento]],)</f>
        <v>#N/A</v>
      </c>
      <c r="G251" s="30"/>
      <c r="H251" s="23"/>
      <c r="I251" s="29">
        <f t="shared" si="3"/>
        <v>0</v>
      </c>
    </row>
    <row r="252" spans="2:9">
      <c r="B252" s="23"/>
      <c r="C252" s="24"/>
      <c r="D252" s="21" t="e">
        <f>_xlfn.XLOOKUP(TabelaAporte[[#This Row],[ID]],Tabela1[[ID ]],Tabela1[Ativo])</f>
        <v>#N/A</v>
      </c>
      <c r="E252" s="23" t="e">
        <f>_xlfn.XLOOKUP(TabelaAporte[[#This Row],[ID]],Tabela1[[ID ]],Tabela1[[ TipoAtivo ]])</f>
        <v>#N/A</v>
      </c>
      <c r="F252" s="23" t="e">
        <f>_xlfn.XLOOKUP(TabelaAporte[[#This Row],[ID]],TabelaGeral[[ID ]],TabelaGeral[[ Setor Segmento]],)</f>
        <v>#N/A</v>
      </c>
      <c r="G252" s="30"/>
      <c r="H252" s="23"/>
      <c r="I252" s="29">
        <f t="shared" si="3"/>
        <v>0</v>
      </c>
    </row>
    <row r="253" spans="2:9">
      <c r="B253" s="23"/>
      <c r="C253" s="24"/>
      <c r="D253" s="21" t="e">
        <f>_xlfn.XLOOKUP(TabelaAporte[[#This Row],[ID]],Tabela1[[ID ]],Tabela1[Ativo])</f>
        <v>#N/A</v>
      </c>
      <c r="E253" s="23" t="e">
        <f>_xlfn.XLOOKUP(TabelaAporte[[#This Row],[ID]],Tabela1[[ID ]],Tabela1[[ TipoAtivo ]])</f>
        <v>#N/A</v>
      </c>
      <c r="F253" s="23" t="e">
        <f>_xlfn.XLOOKUP(TabelaAporte[[#This Row],[ID]],TabelaGeral[[ID ]],TabelaGeral[[ Setor Segmento]],)</f>
        <v>#N/A</v>
      </c>
      <c r="G253" s="30"/>
      <c r="H253" s="23"/>
      <c r="I253" s="29">
        <f t="shared" si="3"/>
        <v>0</v>
      </c>
    </row>
    <row r="254" spans="2:9">
      <c r="B254" s="23"/>
      <c r="C254" s="24"/>
      <c r="D254" s="21" t="e">
        <f>_xlfn.XLOOKUP(TabelaAporte[[#This Row],[ID]],Tabela1[[ID ]],Tabela1[Ativo])</f>
        <v>#N/A</v>
      </c>
      <c r="E254" s="23" t="e">
        <f>_xlfn.XLOOKUP(TabelaAporte[[#This Row],[ID]],Tabela1[[ID ]],Tabela1[[ TipoAtivo ]])</f>
        <v>#N/A</v>
      </c>
      <c r="F254" s="23" t="e">
        <f>_xlfn.XLOOKUP(TabelaAporte[[#This Row],[ID]],TabelaGeral[[ID ]],TabelaGeral[[ Setor Segmento]],)</f>
        <v>#N/A</v>
      </c>
      <c r="G254" s="30"/>
      <c r="H254" s="23"/>
      <c r="I254" s="29">
        <f t="shared" si="3"/>
        <v>0</v>
      </c>
    </row>
    <row r="255" spans="2:9">
      <c r="B255" s="23"/>
      <c r="C255" s="24"/>
      <c r="D255" s="21" t="e">
        <f>_xlfn.XLOOKUP(TabelaAporte[[#This Row],[ID]],Tabela1[[ID ]],Tabela1[Ativo])</f>
        <v>#N/A</v>
      </c>
      <c r="E255" s="23" t="e">
        <f>_xlfn.XLOOKUP(TabelaAporte[[#This Row],[ID]],Tabela1[[ID ]],Tabela1[[ TipoAtivo ]])</f>
        <v>#N/A</v>
      </c>
      <c r="F255" s="23" t="e">
        <f>_xlfn.XLOOKUP(TabelaAporte[[#This Row],[ID]],TabelaGeral[[ID ]],TabelaGeral[[ Setor Segmento]],)</f>
        <v>#N/A</v>
      </c>
      <c r="G255" s="30"/>
      <c r="H255" s="23"/>
      <c r="I255" s="29">
        <f t="shared" si="3"/>
        <v>0</v>
      </c>
    </row>
    <row r="256" spans="2:9">
      <c r="B256" s="23"/>
      <c r="C256" s="24"/>
      <c r="D256" s="21" t="e">
        <f>_xlfn.XLOOKUP(TabelaAporte[[#This Row],[ID]],Tabela1[[ID ]],Tabela1[Ativo])</f>
        <v>#N/A</v>
      </c>
      <c r="E256" s="23" t="e">
        <f>_xlfn.XLOOKUP(TabelaAporte[[#This Row],[ID]],Tabela1[[ID ]],Tabela1[[ TipoAtivo ]])</f>
        <v>#N/A</v>
      </c>
      <c r="F256" s="23" t="e">
        <f>_xlfn.XLOOKUP(TabelaAporte[[#This Row],[ID]],TabelaGeral[[ID ]],TabelaGeral[[ Setor Segmento]],)</f>
        <v>#N/A</v>
      </c>
      <c r="G256" s="30"/>
      <c r="H256" s="23"/>
      <c r="I256" s="29">
        <f t="shared" si="3"/>
        <v>0</v>
      </c>
    </row>
    <row r="257" spans="2:9">
      <c r="B257" s="23"/>
      <c r="C257" s="24"/>
      <c r="D257" s="21" t="e">
        <f>_xlfn.XLOOKUP(TabelaAporte[[#This Row],[ID]],Tabela1[[ID ]],Tabela1[Ativo])</f>
        <v>#N/A</v>
      </c>
      <c r="E257" s="23" t="e">
        <f>_xlfn.XLOOKUP(TabelaAporte[[#This Row],[ID]],Tabela1[[ID ]],Tabela1[[ TipoAtivo ]])</f>
        <v>#N/A</v>
      </c>
      <c r="F257" s="23" t="e">
        <f>_xlfn.XLOOKUP(TabelaAporte[[#This Row],[ID]],TabelaGeral[[ID ]],TabelaGeral[[ Setor Segmento]],)</f>
        <v>#N/A</v>
      </c>
      <c r="G257" s="30"/>
      <c r="H257" s="23"/>
      <c r="I257" s="29">
        <f t="shared" si="3"/>
        <v>0</v>
      </c>
    </row>
    <row r="258" spans="2:9">
      <c r="B258" s="23"/>
      <c r="C258" s="24"/>
      <c r="D258" s="21" t="e">
        <f>_xlfn.XLOOKUP(TabelaAporte[[#This Row],[ID]],Tabela1[[ID ]],Tabela1[Ativo])</f>
        <v>#N/A</v>
      </c>
      <c r="E258" s="23" t="e">
        <f>_xlfn.XLOOKUP(TabelaAporte[[#This Row],[ID]],Tabela1[[ID ]],Tabela1[[ TipoAtivo ]])</f>
        <v>#N/A</v>
      </c>
      <c r="F258" s="23" t="e">
        <f>_xlfn.XLOOKUP(TabelaAporte[[#This Row],[ID]],TabelaGeral[[ID ]],TabelaGeral[[ Setor Segmento]],)</f>
        <v>#N/A</v>
      </c>
      <c r="G258" s="30"/>
      <c r="H258" s="23"/>
      <c r="I258" s="29">
        <f t="shared" si="3"/>
        <v>0</v>
      </c>
    </row>
    <row r="259" spans="2:9">
      <c r="B259" s="23"/>
      <c r="C259" s="24"/>
      <c r="D259" s="21" t="e">
        <f>_xlfn.XLOOKUP(TabelaAporte[[#This Row],[ID]],Tabela1[[ID ]],Tabela1[Ativo])</f>
        <v>#N/A</v>
      </c>
      <c r="E259" s="23" t="e">
        <f>_xlfn.XLOOKUP(TabelaAporte[[#This Row],[ID]],Tabela1[[ID ]],Tabela1[[ TipoAtivo ]])</f>
        <v>#N/A</v>
      </c>
      <c r="F259" s="23" t="e">
        <f>_xlfn.XLOOKUP(TabelaAporte[[#This Row],[ID]],TabelaGeral[[ID ]],TabelaGeral[[ Setor Segmento]],)</f>
        <v>#N/A</v>
      </c>
      <c r="G259" s="30"/>
      <c r="H259" s="23"/>
      <c r="I259" s="29">
        <f t="shared" ref="I259:I308" si="4">H259*G259</f>
        <v>0</v>
      </c>
    </row>
    <row r="260" spans="2:9">
      <c r="B260" s="23"/>
      <c r="C260" s="24"/>
      <c r="D260" s="21" t="e">
        <f>_xlfn.XLOOKUP(TabelaAporte[[#This Row],[ID]],Tabela1[[ID ]],Tabela1[Ativo])</f>
        <v>#N/A</v>
      </c>
      <c r="E260" s="23" t="e">
        <f>_xlfn.XLOOKUP(TabelaAporte[[#This Row],[ID]],Tabela1[[ID ]],Tabela1[[ TipoAtivo ]])</f>
        <v>#N/A</v>
      </c>
      <c r="F260" s="23" t="e">
        <f>_xlfn.XLOOKUP(TabelaAporte[[#This Row],[ID]],TabelaGeral[[ID ]],TabelaGeral[[ Setor Segmento]],)</f>
        <v>#N/A</v>
      </c>
      <c r="G260" s="30"/>
      <c r="H260" s="23"/>
      <c r="I260" s="29">
        <f t="shared" si="4"/>
        <v>0</v>
      </c>
    </row>
    <row r="261" spans="2:9">
      <c r="B261" s="23"/>
      <c r="C261" s="24"/>
      <c r="D261" s="21" t="e">
        <f>_xlfn.XLOOKUP(TabelaAporte[[#This Row],[ID]],Tabela1[[ID ]],Tabela1[Ativo])</f>
        <v>#N/A</v>
      </c>
      <c r="E261" s="23" t="e">
        <f>_xlfn.XLOOKUP(TabelaAporte[[#This Row],[ID]],Tabela1[[ID ]],Tabela1[[ TipoAtivo ]])</f>
        <v>#N/A</v>
      </c>
      <c r="F261" s="23" t="e">
        <f>_xlfn.XLOOKUP(TabelaAporte[[#This Row],[ID]],TabelaGeral[[ID ]],TabelaGeral[[ Setor Segmento]],)</f>
        <v>#N/A</v>
      </c>
      <c r="G261" s="30"/>
      <c r="H261" s="23"/>
      <c r="I261" s="29">
        <f t="shared" si="4"/>
        <v>0</v>
      </c>
    </row>
    <row r="262" spans="2:9">
      <c r="B262" s="23"/>
      <c r="C262" s="24"/>
      <c r="D262" s="21" t="e">
        <f>_xlfn.XLOOKUP(TabelaAporte[[#This Row],[ID]],Tabela1[[ID ]],Tabela1[Ativo])</f>
        <v>#N/A</v>
      </c>
      <c r="E262" s="23" t="e">
        <f>_xlfn.XLOOKUP(TabelaAporte[[#This Row],[ID]],Tabela1[[ID ]],Tabela1[[ TipoAtivo ]])</f>
        <v>#N/A</v>
      </c>
      <c r="F262" s="23" t="e">
        <f>_xlfn.XLOOKUP(TabelaAporte[[#This Row],[ID]],TabelaGeral[[ID ]],TabelaGeral[[ Setor Segmento]],)</f>
        <v>#N/A</v>
      </c>
      <c r="G262" s="30"/>
      <c r="H262" s="23"/>
      <c r="I262" s="29">
        <f t="shared" si="4"/>
        <v>0</v>
      </c>
    </row>
    <row r="263" spans="2:9">
      <c r="B263" s="23"/>
      <c r="C263" s="24"/>
      <c r="D263" s="21" t="e">
        <f>_xlfn.XLOOKUP(TabelaAporte[[#This Row],[ID]],Tabela1[[ID ]],Tabela1[Ativo])</f>
        <v>#N/A</v>
      </c>
      <c r="E263" s="23" t="e">
        <f>_xlfn.XLOOKUP(TabelaAporte[[#This Row],[ID]],Tabela1[[ID ]],Tabela1[[ TipoAtivo ]])</f>
        <v>#N/A</v>
      </c>
      <c r="F263" s="23" t="e">
        <f>_xlfn.XLOOKUP(TabelaAporte[[#This Row],[ID]],TabelaGeral[[ID ]],TabelaGeral[[ Setor Segmento]],)</f>
        <v>#N/A</v>
      </c>
      <c r="G263" s="30"/>
      <c r="H263" s="23"/>
      <c r="I263" s="29">
        <f t="shared" si="4"/>
        <v>0</v>
      </c>
    </row>
    <row r="264" spans="2:9">
      <c r="B264" s="23"/>
      <c r="C264" s="24"/>
      <c r="D264" s="21" t="e">
        <f>_xlfn.XLOOKUP(TabelaAporte[[#This Row],[ID]],Tabela1[[ID ]],Tabela1[Ativo])</f>
        <v>#N/A</v>
      </c>
      <c r="E264" s="23" t="e">
        <f>_xlfn.XLOOKUP(TabelaAporte[[#This Row],[ID]],Tabela1[[ID ]],Tabela1[[ TipoAtivo ]])</f>
        <v>#N/A</v>
      </c>
      <c r="F264" s="23" t="e">
        <f>_xlfn.XLOOKUP(TabelaAporte[[#This Row],[ID]],TabelaGeral[[ID ]],TabelaGeral[[ Setor Segmento]],)</f>
        <v>#N/A</v>
      </c>
      <c r="G264" s="30"/>
      <c r="H264" s="23"/>
      <c r="I264" s="29">
        <f t="shared" si="4"/>
        <v>0</v>
      </c>
    </row>
    <row r="265" spans="2:9">
      <c r="B265" s="23"/>
      <c r="C265" s="24"/>
      <c r="D265" s="21" t="e">
        <f>_xlfn.XLOOKUP(TabelaAporte[[#This Row],[ID]],Tabela1[[ID ]],Tabela1[Ativo])</f>
        <v>#N/A</v>
      </c>
      <c r="E265" s="23" t="e">
        <f>_xlfn.XLOOKUP(TabelaAporte[[#This Row],[ID]],Tabela1[[ID ]],Tabela1[[ TipoAtivo ]])</f>
        <v>#N/A</v>
      </c>
      <c r="F265" s="23" t="e">
        <f>_xlfn.XLOOKUP(TabelaAporte[[#This Row],[ID]],TabelaGeral[[ID ]],TabelaGeral[[ Setor Segmento]],)</f>
        <v>#N/A</v>
      </c>
      <c r="G265" s="30"/>
      <c r="H265" s="23"/>
      <c r="I265" s="29">
        <f t="shared" si="4"/>
        <v>0</v>
      </c>
    </row>
    <row r="266" spans="2:9">
      <c r="B266" s="23"/>
      <c r="C266" s="24"/>
      <c r="D266" s="21" t="e">
        <f>_xlfn.XLOOKUP(TabelaAporte[[#This Row],[ID]],Tabela1[[ID ]],Tabela1[Ativo])</f>
        <v>#N/A</v>
      </c>
      <c r="E266" s="23" t="e">
        <f>_xlfn.XLOOKUP(TabelaAporte[[#This Row],[ID]],Tabela1[[ID ]],Tabela1[[ TipoAtivo ]])</f>
        <v>#N/A</v>
      </c>
      <c r="F266" s="23" t="e">
        <f>_xlfn.XLOOKUP(TabelaAporte[[#This Row],[ID]],TabelaGeral[[ID ]],TabelaGeral[[ Setor Segmento]],)</f>
        <v>#N/A</v>
      </c>
      <c r="G266" s="30"/>
      <c r="H266" s="23"/>
      <c r="I266" s="29">
        <f t="shared" si="4"/>
        <v>0</v>
      </c>
    </row>
    <row r="267" spans="2:9">
      <c r="B267" s="23"/>
      <c r="C267" s="24"/>
      <c r="D267" s="21" t="e">
        <f>_xlfn.XLOOKUP(TabelaAporte[[#This Row],[ID]],Tabela1[[ID ]],Tabela1[Ativo])</f>
        <v>#N/A</v>
      </c>
      <c r="E267" s="23" t="e">
        <f>_xlfn.XLOOKUP(TabelaAporte[[#This Row],[ID]],Tabela1[[ID ]],Tabela1[[ TipoAtivo ]])</f>
        <v>#N/A</v>
      </c>
      <c r="F267" s="23" t="e">
        <f>_xlfn.XLOOKUP(TabelaAporte[[#This Row],[ID]],TabelaGeral[[ID ]],TabelaGeral[[ Setor Segmento]],)</f>
        <v>#N/A</v>
      </c>
      <c r="G267" s="30"/>
      <c r="H267" s="23"/>
      <c r="I267" s="29">
        <f t="shared" si="4"/>
        <v>0</v>
      </c>
    </row>
    <row r="268" spans="2:9">
      <c r="B268" s="23"/>
      <c r="C268" s="24"/>
      <c r="D268" s="21" t="e">
        <f>_xlfn.XLOOKUP(TabelaAporte[[#This Row],[ID]],Tabela1[[ID ]],Tabela1[Ativo])</f>
        <v>#N/A</v>
      </c>
      <c r="E268" s="23" t="e">
        <f>_xlfn.XLOOKUP(TabelaAporte[[#This Row],[ID]],Tabela1[[ID ]],Tabela1[[ TipoAtivo ]])</f>
        <v>#N/A</v>
      </c>
      <c r="F268" s="23" t="e">
        <f>_xlfn.XLOOKUP(TabelaAporte[[#This Row],[ID]],TabelaGeral[[ID ]],TabelaGeral[[ Setor Segmento]],)</f>
        <v>#N/A</v>
      </c>
      <c r="G268" s="30"/>
      <c r="H268" s="23"/>
      <c r="I268" s="29">
        <f t="shared" si="4"/>
        <v>0</v>
      </c>
    </row>
    <row r="269" spans="2:9">
      <c r="B269" s="23"/>
      <c r="C269" s="24"/>
      <c r="D269" s="21" t="e">
        <f>_xlfn.XLOOKUP(TabelaAporte[[#This Row],[ID]],Tabela1[[ID ]],Tabela1[Ativo])</f>
        <v>#N/A</v>
      </c>
      <c r="E269" s="23" t="e">
        <f>_xlfn.XLOOKUP(TabelaAporte[[#This Row],[ID]],Tabela1[[ID ]],Tabela1[[ TipoAtivo ]])</f>
        <v>#N/A</v>
      </c>
      <c r="F269" s="23" t="e">
        <f>_xlfn.XLOOKUP(TabelaAporte[[#This Row],[ID]],TabelaGeral[[ID ]],TabelaGeral[[ Setor Segmento]],)</f>
        <v>#N/A</v>
      </c>
      <c r="G269" s="30"/>
      <c r="H269" s="23"/>
      <c r="I269" s="29">
        <f t="shared" si="4"/>
        <v>0</v>
      </c>
    </row>
    <row r="270" spans="2:9">
      <c r="B270" s="23"/>
      <c r="C270" s="24"/>
      <c r="D270" s="21" t="e">
        <f>_xlfn.XLOOKUP(TabelaAporte[[#This Row],[ID]],Tabela1[[ID ]],Tabela1[Ativo])</f>
        <v>#N/A</v>
      </c>
      <c r="E270" s="23" t="e">
        <f>_xlfn.XLOOKUP(TabelaAporte[[#This Row],[ID]],Tabela1[[ID ]],Tabela1[[ TipoAtivo ]])</f>
        <v>#N/A</v>
      </c>
      <c r="F270" s="23" t="e">
        <f>_xlfn.XLOOKUP(TabelaAporte[[#This Row],[ID]],TabelaGeral[[ID ]],TabelaGeral[[ Setor Segmento]],)</f>
        <v>#N/A</v>
      </c>
      <c r="G270" s="30"/>
      <c r="H270" s="23"/>
      <c r="I270" s="29">
        <f t="shared" si="4"/>
        <v>0</v>
      </c>
    </row>
    <row r="271" spans="2:9">
      <c r="B271" s="23"/>
      <c r="C271" s="24"/>
      <c r="D271" s="21" t="e">
        <f>_xlfn.XLOOKUP(TabelaAporte[[#This Row],[ID]],Tabela1[[ID ]],Tabela1[Ativo])</f>
        <v>#N/A</v>
      </c>
      <c r="E271" s="23" t="e">
        <f>_xlfn.XLOOKUP(TabelaAporte[[#This Row],[ID]],Tabela1[[ID ]],Tabela1[[ TipoAtivo ]])</f>
        <v>#N/A</v>
      </c>
      <c r="F271" s="23" t="e">
        <f>_xlfn.XLOOKUP(TabelaAporte[[#This Row],[ID]],TabelaGeral[[ID ]],TabelaGeral[[ Setor Segmento]],)</f>
        <v>#N/A</v>
      </c>
      <c r="G271" s="30"/>
      <c r="H271" s="23"/>
      <c r="I271" s="29">
        <f t="shared" si="4"/>
        <v>0</v>
      </c>
    </row>
    <row r="272" spans="2:9">
      <c r="B272" s="23"/>
      <c r="C272" s="24"/>
      <c r="D272" s="21" t="e">
        <f>_xlfn.XLOOKUP(TabelaAporte[[#This Row],[ID]],Tabela1[[ID ]],Tabela1[Ativo])</f>
        <v>#N/A</v>
      </c>
      <c r="E272" s="23" t="e">
        <f>_xlfn.XLOOKUP(TabelaAporte[[#This Row],[ID]],Tabela1[[ID ]],Tabela1[[ TipoAtivo ]])</f>
        <v>#N/A</v>
      </c>
      <c r="F272" s="23" t="e">
        <f>_xlfn.XLOOKUP(TabelaAporte[[#This Row],[ID]],TabelaGeral[[ID ]],TabelaGeral[[ Setor Segmento]],)</f>
        <v>#N/A</v>
      </c>
      <c r="G272" s="30"/>
      <c r="H272" s="23"/>
      <c r="I272" s="29">
        <f t="shared" si="4"/>
        <v>0</v>
      </c>
    </row>
    <row r="273" spans="2:9">
      <c r="B273" s="23"/>
      <c r="C273" s="24"/>
      <c r="D273" s="21" t="e">
        <f>_xlfn.XLOOKUP(TabelaAporte[[#This Row],[ID]],Tabela1[[ID ]],Tabela1[Ativo])</f>
        <v>#N/A</v>
      </c>
      <c r="E273" s="23" t="e">
        <f>_xlfn.XLOOKUP(TabelaAporte[[#This Row],[ID]],Tabela1[[ID ]],Tabela1[[ TipoAtivo ]])</f>
        <v>#N/A</v>
      </c>
      <c r="F273" s="23" t="e">
        <f>_xlfn.XLOOKUP(TabelaAporte[[#This Row],[ID]],TabelaGeral[[ID ]],TabelaGeral[[ Setor Segmento]],)</f>
        <v>#N/A</v>
      </c>
      <c r="G273" s="30"/>
      <c r="H273" s="23"/>
      <c r="I273" s="29">
        <f t="shared" si="4"/>
        <v>0</v>
      </c>
    </row>
    <row r="274" spans="2:9">
      <c r="B274" s="23"/>
      <c r="C274" s="24"/>
      <c r="D274" s="21" t="e">
        <f>_xlfn.XLOOKUP(TabelaAporte[[#This Row],[ID]],Tabela1[[ID ]],Tabela1[Ativo])</f>
        <v>#N/A</v>
      </c>
      <c r="E274" s="23" t="e">
        <f>_xlfn.XLOOKUP(TabelaAporte[[#This Row],[ID]],Tabela1[[ID ]],Tabela1[[ TipoAtivo ]])</f>
        <v>#N/A</v>
      </c>
      <c r="F274" s="23" t="e">
        <f>_xlfn.XLOOKUP(TabelaAporte[[#This Row],[ID]],TabelaGeral[[ID ]],TabelaGeral[[ Setor Segmento]],)</f>
        <v>#N/A</v>
      </c>
      <c r="G274" s="30"/>
      <c r="H274" s="23"/>
      <c r="I274" s="29">
        <f t="shared" si="4"/>
        <v>0</v>
      </c>
    </row>
    <row r="275" spans="2:9">
      <c r="B275" s="23"/>
      <c r="C275" s="24"/>
      <c r="D275" s="21" t="e">
        <f>_xlfn.XLOOKUP(TabelaAporte[[#This Row],[ID]],Tabela1[[ID ]],Tabela1[Ativo])</f>
        <v>#N/A</v>
      </c>
      <c r="E275" s="23" t="e">
        <f>_xlfn.XLOOKUP(TabelaAporte[[#This Row],[ID]],Tabela1[[ID ]],Tabela1[[ TipoAtivo ]])</f>
        <v>#N/A</v>
      </c>
      <c r="F275" s="23" t="e">
        <f>_xlfn.XLOOKUP(TabelaAporte[[#This Row],[ID]],TabelaGeral[[ID ]],TabelaGeral[[ Setor Segmento]],)</f>
        <v>#N/A</v>
      </c>
      <c r="G275" s="30"/>
      <c r="H275" s="23"/>
      <c r="I275" s="29">
        <f t="shared" si="4"/>
        <v>0</v>
      </c>
    </row>
    <row r="276" spans="2:9">
      <c r="B276" s="23"/>
      <c r="C276" s="24"/>
      <c r="D276" s="21" t="e">
        <f>_xlfn.XLOOKUP(TabelaAporte[[#This Row],[ID]],Tabela1[[ID ]],Tabela1[Ativo])</f>
        <v>#N/A</v>
      </c>
      <c r="E276" s="23" t="e">
        <f>_xlfn.XLOOKUP(TabelaAporte[[#This Row],[ID]],Tabela1[[ID ]],Tabela1[[ TipoAtivo ]])</f>
        <v>#N/A</v>
      </c>
      <c r="F276" s="23" t="e">
        <f>_xlfn.XLOOKUP(TabelaAporte[[#This Row],[ID]],TabelaGeral[[ID ]],TabelaGeral[[ Setor Segmento]],)</f>
        <v>#N/A</v>
      </c>
      <c r="G276" s="30"/>
      <c r="H276" s="23"/>
      <c r="I276" s="29">
        <f t="shared" si="4"/>
        <v>0</v>
      </c>
    </row>
    <row r="277" spans="2:9">
      <c r="B277" s="23"/>
      <c r="C277" s="24"/>
      <c r="D277" s="21" t="e">
        <f>_xlfn.XLOOKUP(TabelaAporte[[#This Row],[ID]],Tabela1[[ID ]],Tabela1[Ativo])</f>
        <v>#N/A</v>
      </c>
      <c r="E277" s="23" t="e">
        <f>_xlfn.XLOOKUP(TabelaAporte[[#This Row],[ID]],Tabela1[[ID ]],Tabela1[[ TipoAtivo ]])</f>
        <v>#N/A</v>
      </c>
      <c r="F277" s="23" t="e">
        <f>_xlfn.XLOOKUP(TabelaAporte[[#This Row],[ID]],TabelaGeral[[ID ]],TabelaGeral[[ Setor Segmento]],)</f>
        <v>#N/A</v>
      </c>
      <c r="G277" s="30"/>
      <c r="H277" s="23"/>
      <c r="I277" s="29">
        <f t="shared" si="4"/>
        <v>0</v>
      </c>
    </row>
    <row r="278" spans="2:9">
      <c r="B278" s="23"/>
      <c r="C278" s="24"/>
      <c r="D278" s="21" t="e">
        <f>_xlfn.XLOOKUP(TabelaAporte[[#This Row],[ID]],Tabela1[[ID ]],Tabela1[Ativo])</f>
        <v>#N/A</v>
      </c>
      <c r="E278" s="23" t="e">
        <f>_xlfn.XLOOKUP(TabelaAporte[[#This Row],[ID]],Tabela1[[ID ]],Tabela1[[ TipoAtivo ]])</f>
        <v>#N/A</v>
      </c>
      <c r="F278" s="23" t="e">
        <f>_xlfn.XLOOKUP(TabelaAporte[[#This Row],[ID]],TabelaGeral[[ID ]],TabelaGeral[[ Setor Segmento]],)</f>
        <v>#N/A</v>
      </c>
      <c r="G278" s="30"/>
      <c r="H278" s="23"/>
      <c r="I278" s="29">
        <f t="shared" si="4"/>
        <v>0</v>
      </c>
    </row>
    <row r="279" spans="2:9">
      <c r="B279" s="23"/>
      <c r="C279" s="24"/>
      <c r="D279" s="21" t="e">
        <f>_xlfn.XLOOKUP(TabelaAporte[[#This Row],[ID]],Tabela1[[ID ]],Tabela1[Ativo])</f>
        <v>#N/A</v>
      </c>
      <c r="E279" s="23" t="e">
        <f>_xlfn.XLOOKUP(TabelaAporte[[#This Row],[ID]],Tabela1[[ID ]],Tabela1[[ TipoAtivo ]])</f>
        <v>#N/A</v>
      </c>
      <c r="F279" s="23" t="e">
        <f>_xlfn.XLOOKUP(TabelaAporte[[#This Row],[ID]],TabelaGeral[[ID ]],TabelaGeral[[ Setor Segmento]],)</f>
        <v>#N/A</v>
      </c>
      <c r="G279" s="30"/>
      <c r="H279" s="23"/>
      <c r="I279" s="29">
        <f t="shared" si="4"/>
        <v>0</v>
      </c>
    </row>
    <row r="280" spans="2:9">
      <c r="B280" s="23"/>
      <c r="C280" s="24"/>
      <c r="D280" s="21" t="e">
        <f>_xlfn.XLOOKUP(TabelaAporte[[#This Row],[ID]],Tabela1[[ID ]],Tabela1[Ativo])</f>
        <v>#N/A</v>
      </c>
      <c r="E280" s="23" t="e">
        <f>_xlfn.XLOOKUP(TabelaAporte[[#This Row],[ID]],Tabela1[[ID ]],Tabela1[[ TipoAtivo ]])</f>
        <v>#N/A</v>
      </c>
      <c r="F280" s="23" t="e">
        <f>_xlfn.XLOOKUP(TabelaAporte[[#This Row],[ID]],TabelaGeral[[ID ]],TabelaGeral[[ Setor Segmento]],)</f>
        <v>#N/A</v>
      </c>
      <c r="G280" s="30"/>
      <c r="H280" s="23"/>
      <c r="I280" s="29">
        <f t="shared" si="4"/>
        <v>0</v>
      </c>
    </row>
    <row r="281" spans="2:9">
      <c r="B281" s="23"/>
      <c r="C281" s="24"/>
      <c r="D281" s="21" t="e">
        <f>_xlfn.XLOOKUP(TabelaAporte[[#This Row],[ID]],Tabela1[[ID ]],Tabela1[Ativo])</f>
        <v>#N/A</v>
      </c>
      <c r="E281" s="23" t="e">
        <f>_xlfn.XLOOKUP(TabelaAporte[[#This Row],[ID]],Tabela1[[ID ]],Tabela1[[ TipoAtivo ]])</f>
        <v>#N/A</v>
      </c>
      <c r="F281" s="23" t="e">
        <f>_xlfn.XLOOKUP(TabelaAporte[[#This Row],[ID]],TabelaGeral[[ID ]],TabelaGeral[[ Setor Segmento]],)</f>
        <v>#N/A</v>
      </c>
      <c r="G281" s="30"/>
      <c r="H281" s="23"/>
      <c r="I281" s="29">
        <f t="shared" si="4"/>
        <v>0</v>
      </c>
    </row>
    <row r="282" spans="2:9">
      <c r="B282" s="23"/>
      <c r="C282" s="24"/>
      <c r="D282" s="21" t="e">
        <f>_xlfn.XLOOKUP(TabelaAporte[[#This Row],[ID]],Tabela1[[ID ]],Tabela1[Ativo])</f>
        <v>#N/A</v>
      </c>
      <c r="E282" s="23" t="e">
        <f>_xlfn.XLOOKUP(TabelaAporte[[#This Row],[ID]],Tabela1[[ID ]],Tabela1[[ TipoAtivo ]])</f>
        <v>#N/A</v>
      </c>
      <c r="F282" s="23" t="e">
        <f>_xlfn.XLOOKUP(TabelaAporte[[#This Row],[ID]],TabelaGeral[[ID ]],TabelaGeral[[ Setor Segmento]],)</f>
        <v>#N/A</v>
      </c>
      <c r="G282" s="30"/>
      <c r="H282" s="23"/>
      <c r="I282" s="29">
        <f t="shared" si="4"/>
        <v>0</v>
      </c>
    </row>
    <row r="283" spans="2:9">
      <c r="B283" s="23"/>
      <c r="C283" s="24"/>
      <c r="D283" s="21" t="e">
        <f>_xlfn.XLOOKUP(TabelaAporte[[#This Row],[ID]],Tabela1[[ID ]],Tabela1[Ativo])</f>
        <v>#N/A</v>
      </c>
      <c r="E283" s="23" t="e">
        <f>_xlfn.XLOOKUP(TabelaAporte[[#This Row],[ID]],Tabela1[[ID ]],Tabela1[[ TipoAtivo ]])</f>
        <v>#N/A</v>
      </c>
      <c r="F283" s="23" t="e">
        <f>_xlfn.XLOOKUP(TabelaAporte[[#This Row],[ID]],TabelaGeral[[ID ]],TabelaGeral[[ Setor Segmento]],)</f>
        <v>#N/A</v>
      </c>
      <c r="G283" s="30"/>
      <c r="H283" s="23"/>
      <c r="I283" s="29">
        <f t="shared" si="4"/>
        <v>0</v>
      </c>
    </row>
    <row r="284" spans="2:9">
      <c r="B284" s="23"/>
      <c r="C284" s="24"/>
      <c r="D284" s="21" t="e">
        <f>_xlfn.XLOOKUP(TabelaAporte[[#This Row],[ID]],Tabela1[[ID ]],Tabela1[Ativo])</f>
        <v>#N/A</v>
      </c>
      <c r="E284" s="23" t="e">
        <f>_xlfn.XLOOKUP(TabelaAporte[[#This Row],[ID]],Tabela1[[ID ]],Tabela1[[ TipoAtivo ]])</f>
        <v>#N/A</v>
      </c>
      <c r="F284" s="23" t="e">
        <f>_xlfn.XLOOKUP(TabelaAporte[[#This Row],[ID]],TabelaGeral[[ID ]],TabelaGeral[[ Setor Segmento]],)</f>
        <v>#N/A</v>
      </c>
      <c r="G284" s="30"/>
      <c r="H284" s="23"/>
      <c r="I284" s="29">
        <f t="shared" si="4"/>
        <v>0</v>
      </c>
    </row>
    <row r="285" spans="2:9">
      <c r="B285" s="23"/>
      <c r="C285" s="24"/>
      <c r="D285" s="21" t="e">
        <f>_xlfn.XLOOKUP(TabelaAporte[[#This Row],[ID]],Tabela1[[ID ]],Tabela1[Ativo])</f>
        <v>#N/A</v>
      </c>
      <c r="E285" s="23" t="e">
        <f>_xlfn.XLOOKUP(TabelaAporte[[#This Row],[ID]],Tabela1[[ID ]],Tabela1[[ TipoAtivo ]])</f>
        <v>#N/A</v>
      </c>
      <c r="F285" s="23" t="e">
        <f>_xlfn.XLOOKUP(TabelaAporte[[#This Row],[ID]],TabelaGeral[[ID ]],TabelaGeral[[ Setor Segmento]],)</f>
        <v>#N/A</v>
      </c>
      <c r="G285" s="30"/>
      <c r="H285" s="23"/>
      <c r="I285" s="29">
        <f t="shared" si="4"/>
        <v>0</v>
      </c>
    </row>
    <row r="286" spans="2:9">
      <c r="B286" s="23"/>
      <c r="C286" s="24"/>
      <c r="D286" s="21" t="e">
        <f>_xlfn.XLOOKUP(TabelaAporte[[#This Row],[ID]],Tabela1[[ID ]],Tabela1[Ativo])</f>
        <v>#N/A</v>
      </c>
      <c r="E286" s="23" t="e">
        <f>_xlfn.XLOOKUP(TabelaAporte[[#This Row],[ID]],Tabela1[[ID ]],Tabela1[[ TipoAtivo ]])</f>
        <v>#N/A</v>
      </c>
      <c r="F286" s="23" t="e">
        <f>_xlfn.XLOOKUP(TabelaAporte[[#This Row],[ID]],TabelaGeral[[ID ]],TabelaGeral[[ Setor Segmento]],)</f>
        <v>#N/A</v>
      </c>
      <c r="G286" s="30"/>
      <c r="H286" s="23"/>
      <c r="I286" s="29">
        <f t="shared" si="4"/>
        <v>0</v>
      </c>
    </row>
    <row r="287" spans="2:9">
      <c r="B287" s="23"/>
      <c r="C287" s="24"/>
      <c r="D287" s="21" t="e">
        <f>_xlfn.XLOOKUP(TabelaAporte[[#This Row],[ID]],Tabela1[[ID ]],Tabela1[Ativo])</f>
        <v>#N/A</v>
      </c>
      <c r="E287" s="23" t="e">
        <f>_xlfn.XLOOKUP(TabelaAporte[[#This Row],[ID]],Tabela1[[ID ]],Tabela1[[ TipoAtivo ]])</f>
        <v>#N/A</v>
      </c>
      <c r="F287" s="23" t="e">
        <f>_xlfn.XLOOKUP(TabelaAporte[[#This Row],[ID]],TabelaGeral[[ID ]],TabelaGeral[[ Setor Segmento]],)</f>
        <v>#N/A</v>
      </c>
      <c r="G287" s="30"/>
      <c r="H287" s="23"/>
      <c r="I287" s="29">
        <f t="shared" si="4"/>
        <v>0</v>
      </c>
    </row>
    <row r="288" spans="2:9">
      <c r="B288" s="23"/>
      <c r="C288" s="24"/>
      <c r="D288" s="21" t="e">
        <f>_xlfn.XLOOKUP(TabelaAporte[[#This Row],[ID]],Tabela1[[ID ]],Tabela1[Ativo])</f>
        <v>#N/A</v>
      </c>
      <c r="E288" s="23" t="e">
        <f>_xlfn.XLOOKUP(TabelaAporte[[#This Row],[ID]],Tabela1[[ID ]],Tabela1[[ TipoAtivo ]])</f>
        <v>#N/A</v>
      </c>
      <c r="F288" s="23" t="e">
        <f>_xlfn.XLOOKUP(TabelaAporte[[#This Row],[ID]],TabelaGeral[[ID ]],TabelaGeral[[ Setor Segmento]],)</f>
        <v>#N/A</v>
      </c>
      <c r="G288" s="30"/>
      <c r="H288" s="23"/>
      <c r="I288" s="29">
        <f t="shared" si="4"/>
        <v>0</v>
      </c>
    </row>
    <row r="289" spans="2:9">
      <c r="B289" s="23"/>
      <c r="C289" s="24"/>
      <c r="D289" s="21" t="e">
        <f>_xlfn.XLOOKUP(TabelaAporte[[#This Row],[ID]],Tabela1[[ID ]],Tabela1[Ativo])</f>
        <v>#N/A</v>
      </c>
      <c r="E289" s="23" t="e">
        <f>_xlfn.XLOOKUP(TabelaAporte[[#This Row],[ID]],Tabela1[[ID ]],Tabela1[[ TipoAtivo ]])</f>
        <v>#N/A</v>
      </c>
      <c r="F289" s="23" t="e">
        <f>_xlfn.XLOOKUP(TabelaAporte[[#This Row],[ID]],TabelaGeral[[ID ]],TabelaGeral[[ Setor Segmento]],)</f>
        <v>#N/A</v>
      </c>
      <c r="G289" s="30"/>
      <c r="H289" s="23"/>
      <c r="I289" s="29">
        <f t="shared" si="4"/>
        <v>0</v>
      </c>
    </row>
    <row r="290" spans="2:9">
      <c r="B290" s="23"/>
      <c r="C290" s="24"/>
      <c r="D290" s="21" t="e">
        <f>_xlfn.XLOOKUP(TabelaAporte[[#This Row],[ID]],Tabela1[[ID ]],Tabela1[Ativo])</f>
        <v>#N/A</v>
      </c>
      <c r="E290" s="23" t="e">
        <f>_xlfn.XLOOKUP(TabelaAporte[[#This Row],[ID]],Tabela1[[ID ]],Tabela1[[ TipoAtivo ]])</f>
        <v>#N/A</v>
      </c>
      <c r="F290" s="23" t="e">
        <f>_xlfn.XLOOKUP(TabelaAporte[[#This Row],[ID]],TabelaGeral[[ID ]],TabelaGeral[[ Setor Segmento]],)</f>
        <v>#N/A</v>
      </c>
      <c r="G290" s="30"/>
      <c r="H290" s="23"/>
      <c r="I290" s="29">
        <f t="shared" si="4"/>
        <v>0</v>
      </c>
    </row>
    <row r="291" spans="2:9">
      <c r="B291" s="23"/>
      <c r="C291" s="24"/>
      <c r="D291" s="21" t="e">
        <f>_xlfn.XLOOKUP(TabelaAporte[[#This Row],[ID]],Tabela1[[ID ]],Tabela1[Ativo])</f>
        <v>#N/A</v>
      </c>
      <c r="E291" s="23" t="e">
        <f>_xlfn.XLOOKUP(TabelaAporte[[#This Row],[ID]],Tabela1[[ID ]],Tabela1[[ TipoAtivo ]])</f>
        <v>#N/A</v>
      </c>
      <c r="F291" s="23" t="e">
        <f>_xlfn.XLOOKUP(TabelaAporte[[#This Row],[ID]],TabelaGeral[[ID ]],TabelaGeral[[ Setor Segmento]],)</f>
        <v>#N/A</v>
      </c>
      <c r="G291" s="30"/>
      <c r="H291" s="23"/>
      <c r="I291" s="29">
        <f t="shared" si="4"/>
        <v>0</v>
      </c>
    </row>
    <row r="292" spans="2:9">
      <c r="B292" s="23"/>
      <c r="C292" s="24"/>
      <c r="D292" s="21" t="e">
        <f>_xlfn.XLOOKUP(TabelaAporte[[#This Row],[ID]],Tabela1[[ID ]],Tabela1[Ativo])</f>
        <v>#N/A</v>
      </c>
      <c r="E292" s="23" t="e">
        <f>_xlfn.XLOOKUP(TabelaAporte[[#This Row],[ID]],Tabela1[[ID ]],Tabela1[[ TipoAtivo ]])</f>
        <v>#N/A</v>
      </c>
      <c r="F292" s="23" t="e">
        <f>_xlfn.XLOOKUP(TabelaAporte[[#This Row],[ID]],TabelaGeral[[ID ]],TabelaGeral[[ Setor Segmento]],)</f>
        <v>#N/A</v>
      </c>
      <c r="G292" s="30"/>
      <c r="H292" s="23"/>
      <c r="I292" s="29">
        <f t="shared" si="4"/>
        <v>0</v>
      </c>
    </row>
    <row r="293" spans="2:9">
      <c r="B293" s="23"/>
      <c r="C293" s="24"/>
      <c r="D293" s="21" t="e">
        <f>_xlfn.XLOOKUP(TabelaAporte[[#This Row],[ID]],Tabela1[[ID ]],Tabela1[Ativo])</f>
        <v>#N/A</v>
      </c>
      <c r="E293" s="23" t="e">
        <f>_xlfn.XLOOKUP(TabelaAporte[[#This Row],[ID]],Tabela1[[ID ]],Tabela1[[ TipoAtivo ]])</f>
        <v>#N/A</v>
      </c>
      <c r="F293" s="23" t="e">
        <f>_xlfn.XLOOKUP(TabelaAporte[[#This Row],[ID]],TabelaGeral[[ID ]],TabelaGeral[[ Setor Segmento]],)</f>
        <v>#N/A</v>
      </c>
      <c r="G293" s="30"/>
      <c r="H293" s="23"/>
      <c r="I293" s="29">
        <f t="shared" si="4"/>
        <v>0</v>
      </c>
    </row>
    <row r="294" spans="2:9">
      <c r="B294" s="23"/>
      <c r="C294" s="24"/>
      <c r="D294" s="21" t="e">
        <f>_xlfn.XLOOKUP(TabelaAporte[[#This Row],[ID]],Tabela1[[ID ]],Tabela1[Ativo])</f>
        <v>#N/A</v>
      </c>
      <c r="E294" s="23" t="e">
        <f>_xlfn.XLOOKUP(TabelaAporte[[#This Row],[ID]],Tabela1[[ID ]],Tabela1[[ TipoAtivo ]])</f>
        <v>#N/A</v>
      </c>
      <c r="F294" s="23" t="e">
        <f>_xlfn.XLOOKUP(TabelaAporte[[#This Row],[ID]],TabelaGeral[[ID ]],TabelaGeral[[ Setor Segmento]],)</f>
        <v>#N/A</v>
      </c>
      <c r="G294" s="30"/>
      <c r="H294" s="23"/>
      <c r="I294" s="29">
        <f t="shared" si="4"/>
        <v>0</v>
      </c>
    </row>
    <row r="295" spans="2:9">
      <c r="B295" s="23"/>
      <c r="C295" s="24"/>
      <c r="D295" s="21" t="e">
        <f>_xlfn.XLOOKUP(TabelaAporte[[#This Row],[ID]],Tabela1[[ID ]],Tabela1[Ativo])</f>
        <v>#N/A</v>
      </c>
      <c r="E295" s="23" t="e">
        <f>_xlfn.XLOOKUP(TabelaAporte[[#This Row],[ID]],Tabela1[[ID ]],Tabela1[[ TipoAtivo ]])</f>
        <v>#N/A</v>
      </c>
      <c r="F295" s="23" t="e">
        <f>_xlfn.XLOOKUP(TabelaAporte[[#This Row],[ID]],TabelaGeral[[ID ]],TabelaGeral[[ Setor Segmento]],)</f>
        <v>#N/A</v>
      </c>
      <c r="G295" s="30"/>
      <c r="H295" s="23"/>
      <c r="I295" s="29">
        <f t="shared" si="4"/>
        <v>0</v>
      </c>
    </row>
    <row r="296" spans="2:9">
      <c r="B296" s="23"/>
      <c r="C296" s="24"/>
      <c r="D296" s="21" t="e">
        <f>_xlfn.XLOOKUP(TabelaAporte[[#This Row],[ID]],Tabela1[[ID ]],Tabela1[Ativo])</f>
        <v>#N/A</v>
      </c>
      <c r="E296" s="23" t="e">
        <f>_xlfn.XLOOKUP(TabelaAporte[[#This Row],[ID]],Tabela1[[ID ]],Tabela1[[ TipoAtivo ]])</f>
        <v>#N/A</v>
      </c>
      <c r="F296" s="23" t="e">
        <f>_xlfn.XLOOKUP(TabelaAporte[[#This Row],[ID]],TabelaGeral[[ID ]],TabelaGeral[[ Setor Segmento]],)</f>
        <v>#N/A</v>
      </c>
      <c r="G296" s="30"/>
      <c r="H296" s="23"/>
      <c r="I296" s="29">
        <f t="shared" si="4"/>
        <v>0</v>
      </c>
    </row>
    <row r="297" spans="2:9">
      <c r="B297" s="23"/>
      <c r="C297" s="24"/>
      <c r="D297" s="21" t="e">
        <f>_xlfn.XLOOKUP(TabelaAporte[[#This Row],[ID]],Tabela1[[ID ]],Tabela1[Ativo])</f>
        <v>#N/A</v>
      </c>
      <c r="E297" s="23" t="e">
        <f>_xlfn.XLOOKUP(TabelaAporte[[#This Row],[ID]],Tabela1[[ID ]],Tabela1[[ TipoAtivo ]])</f>
        <v>#N/A</v>
      </c>
      <c r="F297" s="23" t="e">
        <f>_xlfn.XLOOKUP(TabelaAporte[[#This Row],[ID]],TabelaGeral[[ID ]],TabelaGeral[[ Setor Segmento]],)</f>
        <v>#N/A</v>
      </c>
      <c r="G297" s="30"/>
      <c r="H297" s="23"/>
      <c r="I297" s="29">
        <f t="shared" si="4"/>
        <v>0</v>
      </c>
    </row>
    <row r="298" spans="2:9">
      <c r="B298" s="23"/>
      <c r="C298" s="24"/>
      <c r="D298" s="21" t="e">
        <f>_xlfn.XLOOKUP(TabelaAporte[[#This Row],[ID]],Tabela1[[ID ]],Tabela1[Ativo])</f>
        <v>#N/A</v>
      </c>
      <c r="E298" s="23" t="e">
        <f>_xlfn.XLOOKUP(TabelaAporte[[#This Row],[ID]],Tabela1[[ID ]],Tabela1[[ TipoAtivo ]])</f>
        <v>#N/A</v>
      </c>
      <c r="F298" s="23" t="e">
        <f>_xlfn.XLOOKUP(TabelaAporte[[#This Row],[ID]],TabelaGeral[[ID ]],TabelaGeral[[ Setor Segmento]],)</f>
        <v>#N/A</v>
      </c>
      <c r="G298" s="30"/>
      <c r="H298" s="23"/>
      <c r="I298" s="29">
        <f t="shared" si="4"/>
        <v>0</v>
      </c>
    </row>
    <row r="299" spans="2:9">
      <c r="B299" s="23"/>
      <c r="C299" s="24"/>
      <c r="D299" s="21" t="e">
        <f>_xlfn.XLOOKUP(TabelaAporte[[#This Row],[ID]],Tabela1[[ID ]],Tabela1[Ativo])</f>
        <v>#N/A</v>
      </c>
      <c r="E299" s="23" t="e">
        <f>_xlfn.XLOOKUP(TabelaAporte[[#This Row],[ID]],Tabela1[[ID ]],Tabela1[[ TipoAtivo ]])</f>
        <v>#N/A</v>
      </c>
      <c r="F299" s="23" t="e">
        <f>_xlfn.XLOOKUP(TabelaAporte[[#This Row],[ID]],TabelaGeral[[ID ]],TabelaGeral[[ Setor Segmento]],)</f>
        <v>#N/A</v>
      </c>
      <c r="G299" s="30"/>
      <c r="H299" s="23"/>
      <c r="I299" s="29">
        <f t="shared" si="4"/>
        <v>0</v>
      </c>
    </row>
    <row r="300" spans="2:9">
      <c r="B300" s="23"/>
      <c r="C300" s="24"/>
      <c r="D300" s="21" t="e">
        <f>_xlfn.XLOOKUP(TabelaAporte[[#This Row],[ID]],Tabela1[[ID ]],Tabela1[Ativo])</f>
        <v>#N/A</v>
      </c>
      <c r="E300" s="23" t="e">
        <f>_xlfn.XLOOKUP(TabelaAporte[[#This Row],[ID]],Tabela1[[ID ]],Tabela1[[ TipoAtivo ]])</f>
        <v>#N/A</v>
      </c>
      <c r="F300" s="23" t="e">
        <f>_xlfn.XLOOKUP(TabelaAporte[[#This Row],[ID]],TabelaGeral[[ID ]],TabelaGeral[[ Setor Segmento]],)</f>
        <v>#N/A</v>
      </c>
      <c r="G300" s="30"/>
      <c r="H300" s="23"/>
      <c r="I300" s="29">
        <f t="shared" si="4"/>
        <v>0</v>
      </c>
    </row>
    <row r="301" spans="2:9">
      <c r="B301" s="23"/>
      <c r="C301" s="24"/>
      <c r="D301" s="21" t="e">
        <f>_xlfn.XLOOKUP(TabelaAporte[[#This Row],[ID]],Tabela1[[ID ]],Tabela1[Ativo])</f>
        <v>#N/A</v>
      </c>
      <c r="E301" s="23" t="e">
        <f>_xlfn.XLOOKUP(TabelaAporte[[#This Row],[ID]],Tabela1[[ID ]],Tabela1[[ TipoAtivo ]])</f>
        <v>#N/A</v>
      </c>
      <c r="F301" s="23" t="e">
        <f>_xlfn.XLOOKUP(TabelaAporte[[#This Row],[ID]],TabelaGeral[[ID ]],TabelaGeral[[ Setor Segmento]],)</f>
        <v>#N/A</v>
      </c>
      <c r="G301" s="30"/>
      <c r="H301" s="23"/>
      <c r="I301" s="29">
        <f t="shared" si="4"/>
        <v>0</v>
      </c>
    </row>
    <row r="302" spans="2:9">
      <c r="B302" s="23"/>
      <c r="C302" s="24"/>
      <c r="D302" s="21" t="e">
        <f>_xlfn.XLOOKUP(TabelaAporte[[#This Row],[ID]],Tabela1[[ID ]],Tabela1[Ativo])</f>
        <v>#N/A</v>
      </c>
      <c r="E302" s="23" t="e">
        <f>_xlfn.XLOOKUP(TabelaAporte[[#This Row],[ID]],Tabela1[[ID ]],Tabela1[[ TipoAtivo ]])</f>
        <v>#N/A</v>
      </c>
      <c r="F302" s="23" t="e">
        <f>_xlfn.XLOOKUP(TabelaAporte[[#This Row],[ID]],TabelaGeral[[ID ]],TabelaGeral[[ Setor Segmento]],)</f>
        <v>#N/A</v>
      </c>
      <c r="G302" s="30"/>
      <c r="H302" s="23"/>
      <c r="I302" s="29">
        <f t="shared" si="4"/>
        <v>0</v>
      </c>
    </row>
    <row r="303" spans="2:9">
      <c r="B303" s="23"/>
      <c r="C303" s="24"/>
      <c r="D303" s="21" t="e">
        <f>_xlfn.XLOOKUP(TabelaAporte[[#This Row],[ID]],Tabela1[[ID ]],Tabela1[Ativo])</f>
        <v>#N/A</v>
      </c>
      <c r="E303" s="23" t="e">
        <f>_xlfn.XLOOKUP(TabelaAporte[[#This Row],[ID]],Tabela1[[ID ]],Tabela1[[ TipoAtivo ]])</f>
        <v>#N/A</v>
      </c>
      <c r="F303" s="23" t="e">
        <f>_xlfn.XLOOKUP(TabelaAporte[[#This Row],[ID]],TabelaGeral[[ID ]],TabelaGeral[[ Setor Segmento]],)</f>
        <v>#N/A</v>
      </c>
      <c r="G303" s="30"/>
      <c r="H303" s="23"/>
      <c r="I303" s="29">
        <f t="shared" si="4"/>
        <v>0</v>
      </c>
    </row>
    <row r="304" spans="2:9">
      <c r="B304" s="23"/>
      <c r="C304" s="24"/>
      <c r="D304" s="21" t="e">
        <f>_xlfn.XLOOKUP(TabelaAporte[[#This Row],[ID]],Tabela1[[ID ]],Tabela1[Ativo])</f>
        <v>#N/A</v>
      </c>
      <c r="E304" s="23" t="e">
        <f>_xlfn.XLOOKUP(TabelaAporte[[#This Row],[ID]],Tabela1[[ID ]],Tabela1[[ TipoAtivo ]])</f>
        <v>#N/A</v>
      </c>
      <c r="F304" s="23" t="e">
        <f>_xlfn.XLOOKUP(TabelaAporte[[#This Row],[ID]],TabelaGeral[[ID ]],TabelaGeral[[ Setor Segmento]],)</f>
        <v>#N/A</v>
      </c>
      <c r="G304" s="30"/>
      <c r="H304" s="23"/>
      <c r="I304" s="29">
        <f t="shared" si="4"/>
        <v>0</v>
      </c>
    </row>
    <row r="305" spans="2:9">
      <c r="B305" s="23"/>
      <c r="C305" s="24"/>
      <c r="D305" s="21" t="e">
        <f>_xlfn.XLOOKUP(TabelaAporte[[#This Row],[ID]],Tabela1[[ID ]],Tabela1[Ativo])</f>
        <v>#N/A</v>
      </c>
      <c r="E305" s="23" t="e">
        <f>_xlfn.XLOOKUP(TabelaAporte[[#This Row],[ID]],Tabela1[[ID ]],Tabela1[[ TipoAtivo ]])</f>
        <v>#N/A</v>
      </c>
      <c r="F305" s="23" t="e">
        <f>_xlfn.XLOOKUP(TabelaAporte[[#This Row],[ID]],TabelaGeral[[ID ]],TabelaGeral[[ Setor Segmento]],)</f>
        <v>#N/A</v>
      </c>
      <c r="G305" s="30"/>
      <c r="H305" s="23"/>
      <c r="I305" s="29">
        <f t="shared" si="4"/>
        <v>0</v>
      </c>
    </row>
    <row r="306" spans="2:9">
      <c r="B306" s="23"/>
      <c r="C306" s="24"/>
      <c r="D306" s="21" t="e">
        <f>_xlfn.XLOOKUP(TabelaAporte[[#This Row],[ID]],Tabela1[[ID ]],Tabela1[Ativo])</f>
        <v>#N/A</v>
      </c>
      <c r="E306" s="23" t="e">
        <f>_xlfn.XLOOKUP(TabelaAporte[[#This Row],[ID]],Tabela1[[ID ]],Tabela1[[ TipoAtivo ]])</f>
        <v>#N/A</v>
      </c>
      <c r="F306" s="23" t="e">
        <f>_xlfn.XLOOKUP(TabelaAporte[[#This Row],[ID]],TabelaGeral[[ID ]],TabelaGeral[[ Setor Segmento]],)</f>
        <v>#N/A</v>
      </c>
      <c r="G306" s="30"/>
      <c r="H306" s="23"/>
      <c r="I306" s="29">
        <f t="shared" si="4"/>
        <v>0</v>
      </c>
    </row>
    <row r="307" spans="2:9">
      <c r="B307" s="23"/>
      <c r="C307" s="24"/>
      <c r="D307" s="21" t="e">
        <f>_xlfn.XLOOKUP(TabelaAporte[[#This Row],[ID]],Tabela1[[ID ]],Tabela1[Ativo])</f>
        <v>#N/A</v>
      </c>
      <c r="E307" s="23" t="e">
        <f>_xlfn.XLOOKUP(TabelaAporte[[#This Row],[ID]],Tabela1[[ID ]],Tabela1[[ TipoAtivo ]])</f>
        <v>#N/A</v>
      </c>
      <c r="F307" s="23" t="e">
        <f>_xlfn.XLOOKUP(TabelaAporte[[#This Row],[ID]],TabelaGeral[[ID ]],TabelaGeral[[ Setor Segmento]],)</f>
        <v>#N/A</v>
      </c>
      <c r="G307" s="30"/>
      <c r="H307" s="23"/>
      <c r="I307" s="29">
        <f t="shared" si="4"/>
        <v>0</v>
      </c>
    </row>
    <row r="308" spans="2:9">
      <c r="B308" s="23"/>
      <c r="C308" s="24"/>
      <c r="D308" s="21" t="e">
        <f>_xlfn.XLOOKUP(TabelaAporte[[#This Row],[ID]],Tabela1[[ID ]],Tabela1[Ativo])</f>
        <v>#N/A</v>
      </c>
      <c r="E308" s="23" t="e">
        <f>_xlfn.XLOOKUP(TabelaAporte[[#This Row],[ID]],Tabela1[[ID ]],Tabela1[[ TipoAtivo ]])</f>
        <v>#N/A</v>
      </c>
      <c r="F308" s="23" t="e">
        <f>_xlfn.XLOOKUP(TabelaAporte[[#This Row],[ID]],TabelaGeral[[ID ]],TabelaGeral[[ Setor Segmento]],)</f>
        <v>#N/A</v>
      </c>
      <c r="G308" s="30"/>
      <c r="H308" s="23"/>
      <c r="I308" s="29">
        <f t="shared" si="4"/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3E98-9997-42FB-9DD1-6FE6C851C007}">
  <dimension ref="B2:G228"/>
  <sheetViews>
    <sheetView showGridLines="0" topLeftCell="A64" zoomScale="145" zoomScaleNormal="145" workbookViewId="0">
      <selection activeCell="J75" sqref="J75"/>
    </sheetView>
  </sheetViews>
  <sheetFormatPr defaultRowHeight="15"/>
  <cols>
    <col min="1" max="1" width="9.140625" style="25"/>
    <col min="2" max="2" width="7.42578125" style="26" bestFit="1" customWidth="1"/>
    <col min="3" max="3" width="11.5703125" style="26" bestFit="1" customWidth="1"/>
    <col min="4" max="4" width="10.28515625" style="26" bestFit="1" customWidth="1"/>
    <col min="5" max="5" width="9.42578125" style="26" bestFit="1" customWidth="1"/>
    <col min="6" max="6" width="14" style="26" bestFit="1" customWidth="1"/>
    <col min="7" max="7" width="14.7109375" style="26" bestFit="1" customWidth="1"/>
    <col min="8" max="16384" width="9.140625" style="25"/>
  </cols>
  <sheetData>
    <row r="2" spans="2:7">
      <c r="B2" s="20" t="s">
        <v>14</v>
      </c>
      <c r="C2" s="20" t="s">
        <v>15</v>
      </c>
      <c r="D2" s="20" t="s">
        <v>10</v>
      </c>
      <c r="E2" s="20" t="s">
        <v>24</v>
      </c>
      <c r="F2" s="20" t="s">
        <v>22</v>
      </c>
      <c r="G2" s="20" t="s">
        <v>17</v>
      </c>
    </row>
    <row r="3" spans="2:7">
      <c r="B3" s="21">
        <v>2</v>
      </c>
      <c r="C3" s="22">
        <v>45679</v>
      </c>
      <c r="D3" s="21" t="str">
        <f>_xlfn.XLOOKUP(TabelaDividendos[[#This Row],[ID]],Tabela1[[ID ]],Tabela1[Ativo])</f>
        <v>BTLG11</v>
      </c>
      <c r="E3" s="21" t="str">
        <f>_xlfn.XLOOKUP(TabelaDividendos[[#This Row],[ID]],TabelaGeral[[ID ]],TabelaGeral[[ Tipo Ativo ]])</f>
        <v xml:space="preserve"> FII       </v>
      </c>
      <c r="F3" s="21" t="str">
        <f>_xlfn.XLOOKUP(TabelaDividendos[[#This Row],[ID]],TabelaGeral[[ID ]],TabelaGeral[[ Setor Segmento]])</f>
        <v xml:space="preserve"> Logística</v>
      </c>
      <c r="G3" s="31">
        <v>0.86</v>
      </c>
    </row>
    <row r="4" spans="2:7">
      <c r="B4" s="21">
        <v>3</v>
      </c>
      <c r="C4" s="22">
        <v>45679</v>
      </c>
      <c r="D4" s="21" t="str">
        <f>_xlfn.XLOOKUP(TabelaDividendos[[#This Row],[ID]],Tabela1[[ID ]],Tabela1[Ativo])</f>
        <v>XPML11</v>
      </c>
      <c r="E4" s="21" t="str">
        <f>_xlfn.XLOOKUP(TabelaDividendos[[#This Row],[ID]],TabelaGeral[[ID ]],TabelaGeral[[ Tipo Ativo ]])</f>
        <v xml:space="preserve"> FII       </v>
      </c>
      <c r="F4" s="21" t="str">
        <f>_xlfn.XLOOKUP(TabelaDividendos[[#This Row],[ID]],TabelaGeral[[ID ]],TabelaGeral[[ Setor Segmento]])</f>
        <v xml:space="preserve"> Shopping</v>
      </c>
      <c r="G4" s="31">
        <v>0.92</v>
      </c>
    </row>
    <row r="5" spans="2:7">
      <c r="B5" s="21">
        <v>1</v>
      </c>
      <c r="C5" s="22">
        <v>45702</v>
      </c>
      <c r="D5" s="21" t="str">
        <f>_xlfn.XLOOKUP(TabelaDividendos[[#This Row],[ID]],Tabela1[[ID ]],Tabela1[Ativo])</f>
        <v>TRXF11</v>
      </c>
      <c r="E5" s="21" t="str">
        <f>_xlfn.XLOOKUP(TabelaDividendos[[#This Row],[ID]],TabelaGeral[[ID ]],TabelaGeral[[ Tipo Ativo ]])</f>
        <v xml:space="preserve"> FII       </v>
      </c>
      <c r="F5" s="21" t="str">
        <f>_xlfn.XLOOKUP(TabelaDividendos[[#This Row],[ID]],TabelaGeral[[ID ]],TabelaGeral[[ Setor Segmento]])</f>
        <v xml:space="preserve"> Renda Urbana</v>
      </c>
      <c r="G5" s="31">
        <v>0.93</v>
      </c>
    </row>
    <row r="6" spans="2:7">
      <c r="B6" s="21">
        <v>2</v>
      </c>
      <c r="C6" s="22">
        <v>45713</v>
      </c>
      <c r="D6" s="21" t="str">
        <f>_xlfn.XLOOKUP(TabelaDividendos[[#This Row],[ID]],Tabela1[[ID ]],Tabela1[Ativo])</f>
        <v>BTLG11</v>
      </c>
      <c r="E6" s="21" t="str">
        <f>_xlfn.XLOOKUP(TabelaDividendos[[#This Row],[ID]],TabelaGeral[[ID ]],TabelaGeral[[ Tipo Ativo ]])</f>
        <v xml:space="preserve"> FII       </v>
      </c>
      <c r="F6" s="21" t="str">
        <f>_xlfn.XLOOKUP(TabelaDividendos[[#This Row],[ID]],TabelaGeral[[ID ]],TabelaGeral[[ Setor Segmento]])</f>
        <v xml:space="preserve"> Logística</v>
      </c>
      <c r="G6" s="31">
        <v>1.56</v>
      </c>
    </row>
    <row r="7" spans="2:7">
      <c r="B7" s="21">
        <v>3</v>
      </c>
      <c r="C7" s="22">
        <v>45713</v>
      </c>
      <c r="D7" s="21" t="str">
        <f>_xlfn.XLOOKUP(TabelaDividendos[[#This Row],[ID]],Tabela1[[ID ]],Tabela1[Ativo])</f>
        <v>XPML11</v>
      </c>
      <c r="E7" s="21" t="str">
        <f>_xlfn.XLOOKUP(TabelaDividendos[[#This Row],[ID]],TabelaGeral[[ID ]],TabelaGeral[[ Tipo Ativo ]])</f>
        <v xml:space="preserve"> FII       </v>
      </c>
      <c r="F7" s="21" t="str">
        <f>_xlfn.XLOOKUP(TabelaDividendos[[#This Row],[ID]],TabelaGeral[[ID ]],TabelaGeral[[ Setor Segmento]])</f>
        <v xml:space="preserve"> Shopping</v>
      </c>
      <c r="G7" s="31">
        <v>1.84</v>
      </c>
    </row>
    <row r="8" spans="2:7">
      <c r="B8" s="21">
        <v>1</v>
      </c>
      <c r="C8" s="22">
        <v>45734</v>
      </c>
      <c r="D8" s="21" t="str">
        <f>_xlfn.XLOOKUP(TabelaDividendos[[#This Row],[ID]],Tabela1[[ID ]],Tabela1[Ativo])</f>
        <v>TRXF11</v>
      </c>
      <c r="E8" s="21" t="str">
        <f>_xlfn.XLOOKUP(TabelaDividendos[[#This Row],[ID]],TabelaGeral[[ID ]],TabelaGeral[[ Tipo Ativo ]])</f>
        <v xml:space="preserve"> FII       </v>
      </c>
      <c r="F8" s="21" t="str">
        <f>_xlfn.XLOOKUP(TabelaDividendos[[#This Row],[ID]],TabelaGeral[[ID ]],TabelaGeral[[ Setor Segmento]])</f>
        <v xml:space="preserve"> Renda Urbana</v>
      </c>
      <c r="G8" s="31">
        <v>1.86</v>
      </c>
    </row>
    <row r="9" spans="2:7">
      <c r="B9" s="21">
        <v>2</v>
      </c>
      <c r="C9" s="22">
        <v>45741</v>
      </c>
      <c r="D9" s="21" t="str">
        <f>_xlfn.XLOOKUP(TabelaDividendos[[#This Row],[ID]],Tabela1[[ID ]],Tabela1[Ativo])</f>
        <v>BTLG11</v>
      </c>
      <c r="E9" s="21" t="str">
        <f>_xlfn.XLOOKUP(TabelaDividendos[[#This Row],[ID]],TabelaGeral[[ID ]],TabelaGeral[[ Tipo Ativo ]])</f>
        <v xml:space="preserve"> FII       </v>
      </c>
      <c r="F9" s="21" t="str">
        <f>_xlfn.XLOOKUP(TabelaDividendos[[#This Row],[ID]],TabelaGeral[[ID ]],TabelaGeral[[ Setor Segmento]])</f>
        <v xml:space="preserve"> Logística</v>
      </c>
      <c r="G9" s="31">
        <v>2.34</v>
      </c>
    </row>
    <row r="10" spans="2:7">
      <c r="B10" s="21">
        <v>3</v>
      </c>
      <c r="C10" s="22">
        <v>45741</v>
      </c>
      <c r="D10" s="21" t="str">
        <f>_xlfn.XLOOKUP(TabelaDividendos[[#This Row],[ID]],Tabela1[[ID ]],Tabela1[Ativo])</f>
        <v>XPML11</v>
      </c>
      <c r="E10" s="21" t="str">
        <f>_xlfn.XLOOKUP(TabelaDividendos[[#This Row],[ID]],TabelaGeral[[ID ]],TabelaGeral[[ Tipo Ativo ]])</f>
        <v xml:space="preserve"> FII       </v>
      </c>
      <c r="F10" s="21" t="str">
        <f>_xlfn.XLOOKUP(TabelaDividendos[[#This Row],[ID]],TabelaGeral[[ID ]],TabelaGeral[[ Setor Segmento]])</f>
        <v xml:space="preserve"> Shopping</v>
      </c>
      <c r="G10" s="31">
        <v>2.76</v>
      </c>
    </row>
    <row r="11" spans="2:7">
      <c r="B11" s="21">
        <v>1</v>
      </c>
      <c r="C11" s="22">
        <v>45761</v>
      </c>
      <c r="D11" s="21" t="str">
        <f>_xlfn.XLOOKUP(TabelaDividendos[[#This Row],[ID]],Tabela1[[ID ]],Tabela1[Ativo])</f>
        <v>TRXF11</v>
      </c>
      <c r="E11" s="21" t="str">
        <f>_xlfn.XLOOKUP(TabelaDividendos[[#This Row],[ID]],TabelaGeral[[ID ]],TabelaGeral[[ Tipo Ativo ]])</f>
        <v xml:space="preserve"> FII       </v>
      </c>
      <c r="F11" s="21" t="str">
        <f>_xlfn.XLOOKUP(TabelaDividendos[[#This Row],[ID]],TabelaGeral[[ID ]],TabelaGeral[[ Setor Segmento]])</f>
        <v xml:space="preserve"> Renda Urbana</v>
      </c>
      <c r="G11" s="31">
        <v>2.79</v>
      </c>
    </row>
    <row r="12" spans="2:7">
      <c r="B12" s="21">
        <v>2</v>
      </c>
      <c r="C12" s="22">
        <v>45772</v>
      </c>
      <c r="D12" s="21" t="str">
        <f>_xlfn.XLOOKUP(TabelaDividendos[[#This Row],[ID]],Tabela1[[ID ]],Tabela1[Ativo])</f>
        <v>BTLG11</v>
      </c>
      <c r="E12" s="21" t="str">
        <f>_xlfn.XLOOKUP(TabelaDividendos[[#This Row],[ID]],TabelaGeral[[ID ]],TabelaGeral[[ Tipo Ativo ]])</f>
        <v xml:space="preserve"> FII       </v>
      </c>
      <c r="F12" s="21" t="str">
        <f>_xlfn.XLOOKUP(TabelaDividendos[[#This Row],[ID]],TabelaGeral[[ID ]],TabelaGeral[[ Setor Segmento]])</f>
        <v xml:space="preserve"> Logística</v>
      </c>
      <c r="G12" s="31">
        <v>3.12</v>
      </c>
    </row>
    <row r="13" spans="2:7">
      <c r="B13" s="21">
        <v>3</v>
      </c>
      <c r="C13" s="22">
        <v>45772</v>
      </c>
      <c r="D13" s="21" t="str">
        <f>_xlfn.XLOOKUP(TabelaDividendos[[#This Row],[ID]],Tabela1[[ID ]],Tabela1[Ativo])</f>
        <v>XPML11</v>
      </c>
      <c r="E13" s="21" t="str">
        <f>_xlfn.XLOOKUP(TabelaDividendos[[#This Row],[ID]],TabelaGeral[[ID ]],TabelaGeral[[ Tipo Ativo ]])</f>
        <v xml:space="preserve"> FII       </v>
      </c>
      <c r="F13" s="21" t="str">
        <f>_xlfn.XLOOKUP(TabelaDividendos[[#This Row],[ID]],TabelaGeral[[ID ]],TabelaGeral[[ Setor Segmento]])</f>
        <v xml:space="preserve"> Shopping</v>
      </c>
      <c r="G13" s="31">
        <v>3.68</v>
      </c>
    </row>
    <row r="14" spans="2:7">
      <c r="B14" s="21">
        <v>4</v>
      </c>
      <c r="C14" s="22">
        <v>45791</v>
      </c>
      <c r="D14" s="21" t="str">
        <f>_xlfn.XLOOKUP(TabelaDividendos[[#This Row],[ID]],Tabela1[[ID ]],Tabela1[Ativo])</f>
        <v>KNSC11</v>
      </c>
      <c r="E14" s="21" t="str">
        <f>_xlfn.XLOOKUP(TabelaDividendos[[#This Row],[ID]],TabelaGeral[[ID ]],TabelaGeral[[ Tipo Ativo ]])</f>
        <v xml:space="preserve"> FII       </v>
      </c>
      <c r="F14" s="21" t="str">
        <f>_xlfn.XLOOKUP(TabelaDividendos[[#This Row],[ID]],TabelaGeral[[ID ]],TabelaGeral[[ Setor Segmento]])</f>
        <v xml:space="preserve"> Papel (CRI)</v>
      </c>
      <c r="G14" s="31">
        <v>0.22</v>
      </c>
    </row>
    <row r="15" spans="2:7">
      <c r="B15" s="21">
        <v>1</v>
      </c>
      <c r="C15" s="22">
        <v>45792</v>
      </c>
      <c r="D15" s="21" t="str">
        <f>_xlfn.XLOOKUP(TabelaDividendos[[#This Row],[ID]],Tabela1[[ID ]],Tabela1[Ativo])</f>
        <v>TRXF11</v>
      </c>
      <c r="E15" s="21" t="str">
        <f>_xlfn.XLOOKUP(TabelaDividendos[[#This Row],[ID]],TabelaGeral[[ID ]],TabelaGeral[[ Tipo Ativo ]])</f>
        <v xml:space="preserve"> FII       </v>
      </c>
      <c r="F15" s="21" t="str">
        <f>_xlfn.XLOOKUP(TabelaDividendos[[#This Row],[ID]],TabelaGeral[[ID ]],TabelaGeral[[ Setor Segmento]])</f>
        <v xml:space="preserve"> Renda Urbana</v>
      </c>
      <c r="G15" s="31">
        <v>3.72</v>
      </c>
    </row>
    <row r="16" spans="2:7">
      <c r="B16" s="21">
        <v>2</v>
      </c>
      <c r="C16" s="22">
        <v>45800</v>
      </c>
      <c r="D16" s="21" t="str">
        <f>_xlfn.XLOOKUP(TabelaDividendos[[#This Row],[ID]],Tabela1[[ID ]],Tabela1[Ativo])</f>
        <v>BTLG11</v>
      </c>
      <c r="E16" s="21" t="str">
        <f>_xlfn.XLOOKUP(TabelaDividendos[[#This Row],[ID]],TabelaGeral[[ID ]],TabelaGeral[[ Tipo Ativo ]])</f>
        <v xml:space="preserve"> FII       </v>
      </c>
      <c r="F16" s="21" t="str">
        <f>_xlfn.XLOOKUP(TabelaDividendos[[#This Row],[ID]],TabelaGeral[[ID ]],TabelaGeral[[ Setor Segmento]])</f>
        <v xml:space="preserve"> Logística</v>
      </c>
      <c r="G16" s="31">
        <v>3.9</v>
      </c>
    </row>
    <row r="17" spans="2:7">
      <c r="B17" s="21">
        <v>3</v>
      </c>
      <c r="C17" s="22">
        <v>45800</v>
      </c>
      <c r="D17" s="21" t="str">
        <f>_xlfn.XLOOKUP(TabelaDividendos[[#This Row],[ID]],Tabela1[[ID ]],Tabela1[Ativo])</f>
        <v>XPML11</v>
      </c>
      <c r="E17" s="21" t="str">
        <f>_xlfn.XLOOKUP(TabelaDividendos[[#This Row],[ID]],TabelaGeral[[ID ]],TabelaGeral[[ Tipo Ativo ]])</f>
        <v xml:space="preserve"> FII       </v>
      </c>
      <c r="F17" s="21" t="str">
        <f>_xlfn.XLOOKUP(TabelaDividendos[[#This Row],[ID]],TabelaGeral[[ID ]],TabelaGeral[[ Setor Segmento]])</f>
        <v xml:space="preserve"> Shopping</v>
      </c>
      <c r="G17" s="31">
        <v>4.5999999999999996</v>
      </c>
    </row>
    <row r="18" spans="2:7">
      <c r="B18" s="21">
        <v>4</v>
      </c>
      <c r="C18" s="22">
        <v>45820</v>
      </c>
      <c r="D18" s="21" t="str">
        <f>_xlfn.XLOOKUP(TabelaDividendos[[#This Row],[ID]],Tabela1[[ID ]],Tabela1[Ativo])</f>
        <v>KNSC11</v>
      </c>
      <c r="E18" s="21" t="str">
        <f>_xlfn.XLOOKUP(TabelaDividendos[[#This Row],[ID]],TabelaGeral[[ID ]],TabelaGeral[[ Tipo Ativo ]])</f>
        <v xml:space="preserve"> FII       </v>
      </c>
      <c r="F18" s="21" t="str">
        <f>_xlfn.XLOOKUP(TabelaDividendos[[#This Row],[ID]],TabelaGeral[[ID ]],TabelaGeral[[ Setor Segmento]])</f>
        <v xml:space="preserve"> Papel (CRI)</v>
      </c>
      <c r="G18" s="31">
        <v>0.2</v>
      </c>
    </row>
    <row r="19" spans="2:7">
      <c r="B19" s="21">
        <v>1</v>
      </c>
      <c r="C19" s="22">
        <v>45821</v>
      </c>
      <c r="D19" s="21" t="str">
        <f>_xlfn.XLOOKUP(TabelaDividendos[[#This Row],[ID]],Tabela1[[ID ]],Tabela1[Ativo])</f>
        <v>TRXF11</v>
      </c>
      <c r="E19" s="21" t="str">
        <f>_xlfn.XLOOKUP(TabelaDividendos[[#This Row],[ID]],TabelaGeral[[ID ]],TabelaGeral[[ Tipo Ativo ]])</f>
        <v xml:space="preserve"> FII       </v>
      </c>
      <c r="F19" s="21" t="str">
        <f>_xlfn.XLOOKUP(TabelaDividendos[[#This Row],[ID]],TabelaGeral[[ID ]],TabelaGeral[[ Setor Segmento]])</f>
        <v xml:space="preserve"> Renda Urbana</v>
      </c>
      <c r="G19" s="31">
        <v>4.6500000000000004</v>
      </c>
    </row>
    <row r="20" spans="2:7">
      <c r="B20" s="21">
        <v>2</v>
      </c>
      <c r="C20" s="22">
        <v>45831</v>
      </c>
      <c r="D20" s="21" t="str">
        <f>_xlfn.XLOOKUP(TabelaDividendos[[#This Row],[ID]],Tabela1[[ID ]],Tabela1[Ativo])</f>
        <v>BTLG11</v>
      </c>
      <c r="E20" s="21" t="str">
        <f>_xlfn.XLOOKUP(TabelaDividendos[[#This Row],[ID]],TabelaGeral[[ID ]],TabelaGeral[[ Tipo Ativo ]])</f>
        <v xml:space="preserve"> FII       </v>
      </c>
      <c r="F20" s="21" t="str">
        <f>_xlfn.XLOOKUP(TabelaDividendos[[#This Row],[ID]],TabelaGeral[[ID ]],TabelaGeral[[ Setor Segmento]])</f>
        <v xml:space="preserve"> Logística</v>
      </c>
      <c r="G20" s="31">
        <v>4.68</v>
      </c>
    </row>
    <row r="21" spans="2:7">
      <c r="B21" s="21">
        <v>3</v>
      </c>
      <c r="C21" s="22">
        <v>45831</v>
      </c>
      <c r="D21" s="21" t="str">
        <f>_xlfn.XLOOKUP(TabelaDividendos[[#This Row],[ID]],Tabela1[[ID ]],Tabela1[Ativo])</f>
        <v>XPML11</v>
      </c>
      <c r="E21" s="21" t="str">
        <f>_xlfn.XLOOKUP(TabelaDividendos[[#This Row],[ID]],TabelaGeral[[ID ]],TabelaGeral[[ Tipo Ativo ]])</f>
        <v xml:space="preserve"> FII       </v>
      </c>
      <c r="F21" s="21" t="str">
        <f>_xlfn.XLOOKUP(TabelaDividendos[[#This Row],[ID]],TabelaGeral[[ID ]],TabelaGeral[[ Setor Segmento]])</f>
        <v xml:space="preserve"> Shopping</v>
      </c>
      <c r="G21" s="31">
        <v>5.52</v>
      </c>
    </row>
    <row r="22" spans="2:7">
      <c r="B22" s="21">
        <v>1</v>
      </c>
      <c r="C22" s="22">
        <v>45852</v>
      </c>
      <c r="D22" s="21" t="str">
        <f>_xlfn.XLOOKUP(TabelaDividendos[[#This Row],[ID]],Tabela1[[ID ]],Tabela1[Ativo])</f>
        <v>TRXF11</v>
      </c>
      <c r="E22" s="21" t="str">
        <f>_xlfn.XLOOKUP(TabelaDividendos[[#This Row],[ID]],TabelaGeral[[ID ]],TabelaGeral[[ Tipo Ativo ]])</f>
        <v xml:space="preserve"> FII       </v>
      </c>
      <c r="F22" s="21" t="str">
        <f>_xlfn.XLOOKUP(TabelaDividendos[[#This Row],[ID]],TabelaGeral[[ID ]],TabelaGeral[[ Setor Segmento]])</f>
        <v xml:space="preserve"> Renda Urbana</v>
      </c>
      <c r="G22" s="31">
        <v>9.06</v>
      </c>
    </row>
    <row r="23" spans="2:7">
      <c r="B23" s="21">
        <v>4</v>
      </c>
      <c r="C23" s="22">
        <v>45852</v>
      </c>
      <c r="D23" s="21" t="str">
        <f>_xlfn.XLOOKUP(TabelaDividendos[[#This Row],[ID]],Tabela1[[ID ]],Tabela1[Ativo])</f>
        <v>KNSC11</v>
      </c>
      <c r="E23" s="21" t="str">
        <f>_xlfn.XLOOKUP(TabelaDividendos[[#This Row],[ID]],TabelaGeral[[ID ]],TabelaGeral[[ Tipo Ativo ]])</f>
        <v xml:space="preserve"> FII       </v>
      </c>
      <c r="F23" s="21" t="str">
        <f>_xlfn.XLOOKUP(TabelaDividendos[[#This Row],[ID]],TabelaGeral[[ID ]],TabelaGeral[[ Setor Segmento]])</f>
        <v xml:space="preserve"> Papel (CRI)</v>
      </c>
      <c r="G23" s="31">
        <v>0.81</v>
      </c>
    </row>
    <row r="24" spans="2:7">
      <c r="B24" s="21">
        <v>2</v>
      </c>
      <c r="C24" s="22">
        <v>45863</v>
      </c>
      <c r="D24" s="21" t="str">
        <f>_xlfn.XLOOKUP(TabelaDividendos[[#This Row],[ID]],Tabela1[[ID ]],Tabela1[Ativo])</f>
        <v>BTLG11</v>
      </c>
      <c r="E24" s="21" t="str">
        <f>_xlfn.XLOOKUP(TabelaDividendos[[#This Row],[ID]],TabelaGeral[[ID ]],TabelaGeral[[ Tipo Ativo ]])</f>
        <v xml:space="preserve"> FII       </v>
      </c>
      <c r="F24" s="21" t="str">
        <f>_xlfn.XLOOKUP(TabelaDividendos[[#This Row],[ID]],TabelaGeral[[ID ]],TabelaGeral[[ Setor Segmento]])</f>
        <v xml:space="preserve"> Logística</v>
      </c>
      <c r="G24" s="31">
        <v>5.46</v>
      </c>
    </row>
    <row r="25" spans="2:7">
      <c r="B25" s="21">
        <v>3</v>
      </c>
      <c r="C25" s="22">
        <v>45863</v>
      </c>
      <c r="D25" s="21" t="str">
        <f>_xlfn.XLOOKUP(TabelaDividendos[[#This Row],[ID]],Tabela1[[ID ]],Tabela1[Ativo])</f>
        <v>XPML11</v>
      </c>
      <c r="E25" s="21" t="str">
        <f>_xlfn.XLOOKUP(TabelaDividendos[[#This Row],[ID]],TabelaGeral[[ID ]],TabelaGeral[[ Tipo Ativo ]])</f>
        <v xml:space="preserve"> FII       </v>
      </c>
      <c r="F25" s="21" t="str">
        <f>_xlfn.XLOOKUP(TabelaDividendos[[#This Row],[ID]],TabelaGeral[[ID ]],TabelaGeral[[ Setor Segmento]])</f>
        <v xml:space="preserve"> Shopping</v>
      </c>
      <c r="G25" s="31">
        <v>6.44</v>
      </c>
    </row>
    <row r="26" spans="2:7">
      <c r="B26" s="21">
        <v>4</v>
      </c>
      <c r="C26" s="22">
        <v>45882</v>
      </c>
      <c r="D26" s="21" t="str">
        <f>_xlfn.XLOOKUP(TabelaDividendos[[#This Row],[ID]],Tabela1[[ID ]],Tabela1[Ativo])</f>
        <v>KNSC11</v>
      </c>
      <c r="E26" s="21" t="str">
        <f>_xlfn.XLOOKUP(TabelaDividendos[[#This Row],[ID]],TabelaGeral[[ID ]],TabelaGeral[[ Tipo Ativo ]])</f>
        <v xml:space="preserve"> FII       </v>
      </c>
      <c r="F26" s="21" t="str">
        <f>_xlfn.XLOOKUP(TabelaDividendos[[#This Row],[ID]],TabelaGeral[[ID ]],TabelaGeral[[ Setor Segmento]])</f>
        <v xml:space="preserve"> Papel (CRI)</v>
      </c>
      <c r="G26" s="31">
        <v>1.3</v>
      </c>
    </row>
    <row r="27" spans="2:7">
      <c r="B27" s="21">
        <v>1</v>
      </c>
      <c r="C27" s="22">
        <v>45883</v>
      </c>
      <c r="D27" s="21" t="str">
        <f>_xlfn.XLOOKUP(TabelaDividendos[[#This Row],[ID]],Tabela1[[ID ]],Tabela1[Ativo])</f>
        <v>TRXF11</v>
      </c>
      <c r="E27" s="21" t="str">
        <f>_xlfn.XLOOKUP(TabelaDividendos[[#This Row],[ID]],TabelaGeral[[ID ]],TabelaGeral[[ Tipo Ativo ]])</f>
        <v xml:space="preserve"> FII       </v>
      </c>
      <c r="F27" s="21" t="str">
        <f>_xlfn.XLOOKUP(TabelaDividendos[[#This Row],[ID]],TabelaGeral[[ID ]],TabelaGeral[[ Setor Segmento]])</f>
        <v xml:space="preserve"> Renda Urbana</v>
      </c>
      <c r="G27" s="31">
        <v>6.51</v>
      </c>
    </row>
    <row r="28" spans="2:7">
      <c r="B28" s="21">
        <v>2</v>
      </c>
      <c r="C28" s="22">
        <v>45894</v>
      </c>
      <c r="D28" s="21" t="str">
        <f>_xlfn.XLOOKUP(TabelaDividendos[[#This Row],[ID]],Tabela1[[ID ]],Tabela1[Ativo])</f>
        <v>BTLG11</v>
      </c>
      <c r="E28" s="21" t="str">
        <f>_xlfn.XLOOKUP(TabelaDividendos[[#This Row],[ID]],TabelaGeral[[ID ]],TabelaGeral[[ Tipo Ativo ]])</f>
        <v xml:space="preserve"> FII       </v>
      </c>
      <c r="F28" s="21" t="str">
        <f>_xlfn.XLOOKUP(TabelaDividendos[[#This Row],[ID]],TabelaGeral[[ID ]],TabelaGeral[[ Setor Segmento]])</f>
        <v xml:space="preserve"> Logística</v>
      </c>
      <c r="G28" s="31">
        <v>7.8</v>
      </c>
    </row>
    <row r="29" spans="2:7">
      <c r="B29" s="21">
        <v>3</v>
      </c>
      <c r="C29" s="22">
        <v>45894</v>
      </c>
      <c r="D29" s="21" t="str">
        <f>_xlfn.XLOOKUP(TabelaDividendos[[#This Row],[ID]],Tabela1[[ID ]],Tabela1[Ativo])</f>
        <v>XPML11</v>
      </c>
      <c r="E29" s="21" t="str">
        <f>_xlfn.XLOOKUP(TabelaDividendos[[#This Row],[ID]],TabelaGeral[[ID ]],TabelaGeral[[ Tipo Ativo ]])</f>
        <v xml:space="preserve"> FII       </v>
      </c>
      <c r="F29" s="21" t="str">
        <f>_xlfn.XLOOKUP(TabelaDividendos[[#This Row],[ID]],TabelaGeral[[ID ]],TabelaGeral[[ Setor Segmento]])</f>
        <v xml:space="preserve"> Shopping</v>
      </c>
      <c r="G29" s="31">
        <v>8.2799999999999994</v>
      </c>
    </row>
    <row r="30" spans="2:7">
      <c r="B30" s="21">
        <v>4</v>
      </c>
      <c r="C30" s="22">
        <v>45911</v>
      </c>
      <c r="D30" s="21" t="str">
        <f>_xlfn.XLOOKUP(TabelaDividendos[[#This Row],[ID]],Tabela1[[ID ]],Tabela1[Ativo])</f>
        <v>KNSC11</v>
      </c>
      <c r="E30" s="21" t="str">
        <f>_xlfn.XLOOKUP(TabelaDividendos[[#This Row],[ID]],TabelaGeral[[ID ]],TabelaGeral[[ Tipo Ativo ]])</f>
        <v xml:space="preserve"> FII       </v>
      </c>
      <c r="F30" s="21" t="str">
        <f>_xlfn.XLOOKUP(TabelaDividendos[[#This Row],[ID]],TabelaGeral[[ID ]],TabelaGeral[[ Setor Segmento]])</f>
        <v xml:space="preserve"> Papel (CRI)</v>
      </c>
      <c r="G30" s="31">
        <v>1.44</v>
      </c>
    </row>
    <row r="31" spans="2:7">
      <c r="B31" s="21">
        <v>1</v>
      </c>
      <c r="C31" s="22">
        <v>45912</v>
      </c>
      <c r="D31" s="21" t="str">
        <f>_xlfn.XLOOKUP(TabelaDividendos[[#This Row],[ID]],Tabela1[[ID ]],Tabela1[Ativo])</f>
        <v>TRXF11</v>
      </c>
      <c r="E31" s="21" t="str">
        <f>_xlfn.XLOOKUP(TabelaDividendos[[#This Row],[ID]],TabelaGeral[[ID ]],TabelaGeral[[ Tipo Ativo ]])</f>
        <v xml:space="preserve"> FII       </v>
      </c>
      <c r="F31" s="21" t="str">
        <f>_xlfn.XLOOKUP(TabelaDividendos[[#This Row],[ID]],TabelaGeral[[ID ]],TabelaGeral[[ Setor Segmento]])</f>
        <v xml:space="preserve"> Renda Urbana</v>
      </c>
      <c r="G31" s="31">
        <v>9.3000000000000007</v>
      </c>
    </row>
    <row r="32" spans="2:7">
      <c r="B32" s="21">
        <v>2</v>
      </c>
      <c r="C32" s="22">
        <v>45925</v>
      </c>
      <c r="D32" s="21" t="str">
        <f>_xlfn.XLOOKUP(TabelaDividendos[[#This Row],[ID]],Tabela1[[ID ]],Tabela1[Ativo])</f>
        <v>BTLG11</v>
      </c>
      <c r="E32" s="21" t="str">
        <f>_xlfn.XLOOKUP(TabelaDividendos[[#This Row],[ID]],TabelaGeral[[ID ]],TabelaGeral[[ Tipo Ativo ]])</f>
        <v xml:space="preserve"> FII       </v>
      </c>
      <c r="F32" s="21" t="str">
        <f>_xlfn.XLOOKUP(TabelaDividendos[[#This Row],[ID]],TabelaGeral[[ID ]],TabelaGeral[[ Setor Segmento]])</f>
        <v xml:space="preserve"> Logística</v>
      </c>
      <c r="G32" s="31">
        <v>8.69</v>
      </c>
    </row>
    <row r="33" spans="2:7">
      <c r="B33" s="21">
        <v>3</v>
      </c>
      <c r="C33" s="22">
        <v>45925</v>
      </c>
      <c r="D33" s="21" t="str">
        <f>_xlfn.XLOOKUP(TabelaDividendos[[#This Row],[ID]],Tabela1[[ID ]],Tabela1[Ativo])</f>
        <v>XPML11</v>
      </c>
      <c r="E33" s="21" t="str">
        <f>_xlfn.XLOOKUP(TabelaDividendos[[#This Row],[ID]],TabelaGeral[[ID ]],TabelaGeral[[ Tipo Ativo ]])</f>
        <v xml:space="preserve"> FII       </v>
      </c>
      <c r="F33" s="21" t="str">
        <f>_xlfn.XLOOKUP(TabelaDividendos[[#This Row],[ID]],TabelaGeral[[ID ]],TabelaGeral[[ Setor Segmento]])</f>
        <v xml:space="preserve"> Shopping</v>
      </c>
      <c r="G33" s="31">
        <v>9.1999999999999993</v>
      </c>
    </row>
    <row r="34" spans="2:7">
      <c r="B34" s="21">
        <v>4</v>
      </c>
      <c r="C34" s="22">
        <v>45943</v>
      </c>
      <c r="D34" s="21" t="str">
        <f>_xlfn.XLOOKUP(TabelaDividendos[[#This Row],[ID]],Tabela1[[ID ]],Tabela1[Ativo])</f>
        <v>KNSC11</v>
      </c>
      <c r="E34" s="21" t="str">
        <f>_xlfn.XLOOKUP(TabelaDividendos[[#This Row],[ID]],TabelaGeral[[ID ]],TabelaGeral[[ Tipo Ativo ]])</f>
        <v xml:space="preserve"> FII       </v>
      </c>
      <c r="F34" s="21" t="str">
        <f>_xlfn.XLOOKUP(TabelaDividendos[[#This Row],[ID]],TabelaGeral[[ID ]],TabelaGeral[[ Setor Segmento]])</f>
        <v xml:space="preserve"> Papel (CRI)</v>
      </c>
      <c r="G34" s="31">
        <v>1.6</v>
      </c>
    </row>
    <row r="35" spans="2:7">
      <c r="B35" s="21">
        <v>1</v>
      </c>
      <c r="C35" s="22">
        <v>45944</v>
      </c>
      <c r="D35" s="21" t="str">
        <f>_xlfn.XLOOKUP(TabelaDividendos[[#This Row],[ID]],Tabela1[[ID ]],Tabela1[Ativo])</f>
        <v>TRXF11</v>
      </c>
      <c r="E35" s="21" t="str">
        <f>_xlfn.XLOOKUP(TabelaDividendos[[#This Row],[ID]],TabelaGeral[[ID ]],TabelaGeral[[ Tipo Ativo ]])</f>
        <v xml:space="preserve"> FII       </v>
      </c>
      <c r="F35" s="21" t="str">
        <f>_xlfn.XLOOKUP(TabelaDividendos[[#This Row],[ID]],TabelaGeral[[ID ]],TabelaGeral[[ Setor Segmento]])</f>
        <v xml:space="preserve"> Renda Urbana</v>
      </c>
      <c r="G35" s="31">
        <v>10.23</v>
      </c>
    </row>
    <row r="36" spans="2:7">
      <c r="B36" s="21">
        <v>2</v>
      </c>
      <c r="C36" s="22">
        <v>45945</v>
      </c>
      <c r="D36" s="21" t="str">
        <f>_xlfn.XLOOKUP(TabelaDividendos[[#This Row],[ID]],Tabela1[[ID ]],Tabela1[Ativo])</f>
        <v>BTLG11</v>
      </c>
      <c r="E36" s="21" t="str">
        <f>_xlfn.XLOOKUP(TabelaDividendos[[#This Row],[ID]],TabelaGeral[[ID ]],TabelaGeral[[ Tipo Ativo ]])</f>
        <v xml:space="preserve"> FII       </v>
      </c>
      <c r="F36" s="21" t="str">
        <f>_xlfn.XLOOKUP(TabelaDividendos[[#This Row],[ID]],TabelaGeral[[ID ]],TabelaGeral[[ Setor Segmento]])</f>
        <v xml:space="preserve"> Logística</v>
      </c>
      <c r="G36" s="31">
        <v>9.48</v>
      </c>
    </row>
    <row r="37" spans="2:7">
      <c r="B37" s="21">
        <v>6</v>
      </c>
      <c r="C37" s="22">
        <v>45945</v>
      </c>
      <c r="D37" s="21" t="str">
        <f>_xlfn.XLOOKUP(TabelaDividendos[[#This Row],[ID]],Tabela1[[ID ]],Tabela1[Ativo])</f>
        <v>RBVA11</v>
      </c>
      <c r="E37" s="21" t="str">
        <f>_xlfn.XLOOKUP(TabelaDividendos[[#This Row],[ID]],TabelaGeral[[ID ]],TabelaGeral[[ Tipo Ativo ]])</f>
        <v xml:space="preserve"> FII       </v>
      </c>
      <c r="F37" s="21" t="str">
        <f>_xlfn.XLOOKUP(TabelaDividendos[[#This Row],[ID]],TabelaGeral[[ID ]],TabelaGeral[[ Setor Segmento]])</f>
        <v xml:space="preserve"> Renda Urbana</v>
      </c>
      <c r="G37" s="31">
        <v>1.26</v>
      </c>
    </row>
    <row r="38" spans="2:7">
      <c r="B38" s="21">
        <v>3</v>
      </c>
      <c r="C38" s="22">
        <v>45954</v>
      </c>
      <c r="D38" s="21" t="str">
        <f>_xlfn.XLOOKUP(TabelaDividendos[[#This Row],[ID]],Tabela1[[ID ]],Tabela1[Ativo])</f>
        <v>XPML11</v>
      </c>
      <c r="E38" s="21" t="str">
        <f>_xlfn.XLOOKUP(TabelaDividendos[[#This Row],[ID]],TabelaGeral[[ID ]],TabelaGeral[[ Tipo Ativo ]])</f>
        <v xml:space="preserve"> FII       </v>
      </c>
      <c r="F38" s="21" t="str">
        <f>_xlfn.XLOOKUP(TabelaDividendos[[#This Row],[ID]],TabelaGeral[[ID ]],TabelaGeral[[ Setor Segmento]])</f>
        <v xml:space="preserve"> Shopping</v>
      </c>
      <c r="G38" s="31">
        <v>10.119999999999999</v>
      </c>
    </row>
    <row r="39" spans="2:7">
      <c r="B39" s="21">
        <v>4</v>
      </c>
      <c r="C39" s="22">
        <v>45974</v>
      </c>
      <c r="D39" s="21" t="str">
        <f>_xlfn.XLOOKUP(TabelaDividendos[[#This Row],[ID]],Tabela1[[ID ]],Tabela1[Ativo])</f>
        <v>KNSC11</v>
      </c>
      <c r="E39" s="21" t="str">
        <f>_xlfn.XLOOKUP(TabelaDividendos[[#This Row],[ID]],TabelaGeral[[ID ]],TabelaGeral[[ Tipo Ativo ]])</f>
        <v xml:space="preserve"> FII       </v>
      </c>
      <c r="F39" s="21" t="str">
        <f>_xlfn.XLOOKUP(TabelaDividendos[[#This Row],[ID]],TabelaGeral[[ID ]],TabelaGeral[[ Setor Segmento]])</f>
        <v xml:space="preserve"> Papel (CRI)</v>
      </c>
      <c r="G39" s="31">
        <v>2.25</v>
      </c>
    </row>
    <row r="40" spans="2:7">
      <c r="B40" s="21">
        <v>1</v>
      </c>
      <c r="C40" s="22">
        <v>45975</v>
      </c>
      <c r="D40" s="21" t="str">
        <f>_xlfn.XLOOKUP(TabelaDividendos[[#This Row],[ID]],Tabela1[[ID ]],Tabela1[Ativo])</f>
        <v>TRXF11</v>
      </c>
      <c r="E40" s="21" t="str">
        <f>_xlfn.XLOOKUP(TabelaDividendos[[#This Row],[ID]],TabelaGeral[[ID ]],TabelaGeral[[ Tipo Ativo ]])</f>
        <v xml:space="preserve"> FII       </v>
      </c>
      <c r="F40" s="21" t="str">
        <f>_xlfn.XLOOKUP(TabelaDividendos[[#This Row],[ID]],TabelaGeral[[ID ]],TabelaGeral[[ Setor Segmento]])</f>
        <v xml:space="preserve"> Renda Urbana</v>
      </c>
      <c r="G40" s="31">
        <v>11.16</v>
      </c>
    </row>
    <row r="41" spans="2:7">
      <c r="B41" s="21">
        <v>6</v>
      </c>
      <c r="C41" s="22">
        <v>45975</v>
      </c>
      <c r="D41" s="21" t="str">
        <f>_xlfn.XLOOKUP(TabelaDividendos[[#This Row],[ID]],Tabela1[[ID ]],Tabela1[Ativo])</f>
        <v>RBVA11</v>
      </c>
      <c r="E41" s="21" t="str">
        <f>_xlfn.XLOOKUP(TabelaDividendos[[#This Row],[ID]],TabelaGeral[[ID ]],TabelaGeral[[ Tipo Ativo ]])</f>
        <v xml:space="preserve"> FII       </v>
      </c>
      <c r="F41" s="21" t="str">
        <f>_xlfn.XLOOKUP(TabelaDividendos[[#This Row],[ID]],TabelaGeral[[ID ]],TabelaGeral[[ Setor Segmento]])</f>
        <v xml:space="preserve"> Renda Urbana</v>
      </c>
      <c r="G41" s="31">
        <v>2.25</v>
      </c>
    </row>
    <row r="42" spans="2:7">
      <c r="B42" s="21">
        <v>2</v>
      </c>
      <c r="C42" s="22">
        <v>45986</v>
      </c>
      <c r="D42" s="21" t="str">
        <f>_xlfn.XLOOKUP(TabelaDividendos[[#This Row],[ID]],Tabela1[[ID ]],Tabela1[Ativo])</f>
        <v>BTLG11</v>
      </c>
      <c r="E42" s="21" t="str">
        <f>_xlfn.XLOOKUP(TabelaDividendos[[#This Row],[ID]],TabelaGeral[[ID ]],TabelaGeral[[ Tipo Ativo ]])</f>
        <v xml:space="preserve"> FII       </v>
      </c>
      <c r="F42" s="21" t="str">
        <f>_xlfn.XLOOKUP(TabelaDividendos[[#This Row],[ID]],TabelaGeral[[ID ]],TabelaGeral[[ Setor Segmento]])</f>
        <v xml:space="preserve"> Logística</v>
      </c>
      <c r="G42" s="31">
        <v>9.48</v>
      </c>
    </row>
    <row r="43" spans="2:7">
      <c r="B43" s="21">
        <v>3</v>
      </c>
      <c r="C43" s="22">
        <v>45986</v>
      </c>
      <c r="D43" s="21" t="str">
        <f>_xlfn.XLOOKUP(TabelaDividendos[[#This Row],[ID]],Tabela1[[ID ]],Tabela1[Ativo])</f>
        <v>XPML11</v>
      </c>
      <c r="E43" s="21" t="str">
        <f>_xlfn.XLOOKUP(TabelaDividendos[[#This Row],[ID]],TabelaGeral[[ID ]],TabelaGeral[[ Tipo Ativo ]])</f>
        <v xml:space="preserve"> FII       </v>
      </c>
      <c r="F43" s="21" t="str">
        <f>_xlfn.XLOOKUP(TabelaDividendos[[#This Row],[ID]],TabelaGeral[[ID ]],TabelaGeral[[ Setor Segmento]])</f>
        <v xml:space="preserve"> Shopping</v>
      </c>
      <c r="G43" s="31">
        <v>11.04</v>
      </c>
    </row>
    <row r="44" spans="2:7">
      <c r="B44" s="21">
        <v>4</v>
      </c>
      <c r="C44" s="22">
        <v>46002</v>
      </c>
      <c r="D44" s="21" t="str">
        <f>_xlfn.XLOOKUP(TabelaDividendos[[#This Row],[ID]],Tabela1[[ID ]],Tabela1[Ativo])</f>
        <v>KNSC11</v>
      </c>
      <c r="E44" s="21" t="str">
        <f>_xlfn.XLOOKUP(TabelaDividendos[[#This Row],[ID]],TabelaGeral[[ID ]],TabelaGeral[[ Tipo Ativo ]])</f>
        <v xml:space="preserve"> FII       </v>
      </c>
      <c r="F44" s="21" t="str">
        <f>_xlfn.XLOOKUP(TabelaDividendos[[#This Row],[ID]],TabelaGeral[[ID ]],TabelaGeral[[ Setor Segmento]])</f>
        <v xml:space="preserve"> Papel (CRI)</v>
      </c>
      <c r="G44" s="31">
        <v>3.33</v>
      </c>
    </row>
    <row r="45" spans="2:7">
      <c r="B45" s="21">
        <v>5</v>
      </c>
      <c r="C45" s="22">
        <v>46002</v>
      </c>
      <c r="D45" s="21" t="str">
        <f>_xlfn.XLOOKUP(TabelaDividendos[[#This Row],[ID]],Tabela1[[ID ]],Tabela1[Ativo])</f>
        <v>BBAS3</v>
      </c>
      <c r="E45" s="21" t="str">
        <f>_xlfn.XLOOKUP(TabelaDividendos[[#This Row],[ID]],TabelaGeral[[ID ]],TabelaGeral[[ Tipo Ativo ]])</f>
        <v xml:space="preserve"> Ação      </v>
      </c>
      <c r="F45" s="21" t="str">
        <f>_xlfn.XLOOKUP(TabelaDividendos[[#This Row],[ID]],TabelaGeral[[ID ]],TabelaGeral[[ Setor Segmento]])</f>
        <v xml:space="preserve"> Seguros</v>
      </c>
      <c r="G45" s="31">
        <v>1</v>
      </c>
    </row>
    <row r="46" spans="2:7">
      <c r="B46" s="21">
        <v>1</v>
      </c>
      <c r="C46" s="22">
        <v>46003</v>
      </c>
      <c r="D46" s="21" t="str">
        <f>_xlfn.XLOOKUP(TabelaDividendos[[#This Row],[ID]],Tabela1[[ID ]],Tabela1[Ativo])</f>
        <v>TRXF11</v>
      </c>
      <c r="E46" s="21" t="str">
        <f>_xlfn.XLOOKUP(TabelaDividendos[[#This Row],[ID]],TabelaGeral[[ID ]],TabelaGeral[[ Tipo Ativo ]])</f>
        <v xml:space="preserve"> FII       </v>
      </c>
      <c r="F46" s="21" t="str">
        <f>_xlfn.XLOOKUP(TabelaDividendos[[#This Row],[ID]],TabelaGeral[[ID ]],TabelaGeral[[ Setor Segmento]])</f>
        <v xml:space="preserve"> Renda Urbana</v>
      </c>
      <c r="G46" s="31">
        <v>13.02</v>
      </c>
    </row>
    <row r="47" spans="2:7">
      <c r="B47" s="21">
        <v>6</v>
      </c>
      <c r="C47" s="22">
        <v>46006</v>
      </c>
      <c r="D47" s="21" t="str">
        <f>_xlfn.XLOOKUP(TabelaDividendos[[#This Row],[ID]],Tabela1[[ID ]],Tabela1[Ativo])</f>
        <v>RBVA11</v>
      </c>
      <c r="E47" s="21" t="str">
        <f>_xlfn.XLOOKUP(TabelaDividendos[[#This Row],[ID]],TabelaGeral[[ID ]],TabelaGeral[[ Tipo Ativo ]])</f>
        <v xml:space="preserve"> FII       </v>
      </c>
      <c r="F47" s="21" t="str">
        <f>_xlfn.XLOOKUP(TabelaDividendos[[#This Row],[ID]],TabelaGeral[[ID ]],TabelaGeral[[ Setor Segmento]])</f>
        <v xml:space="preserve"> Renda Urbana</v>
      </c>
      <c r="G47" s="31">
        <v>3.15</v>
      </c>
    </row>
    <row r="48" spans="2:7">
      <c r="B48" s="21">
        <v>2</v>
      </c>
      <c r="C48" s="22">
        <v>46014</v>
      </c>
      <c r="D48" s="21" t="str">
        <f>_xlfn.XLOOKUP(TabelaDividendos[[#This Row],[ID]],Tabela1[[ID ]],Tabela1[Ativo])</f>
        <v>BTLG11</v>
      </c>
      <c r="E48" s="21" t="str">
        <f>_xlfn.XLOOKUP(TabelaDividendos[[#This Row],[ID]],TabelaGeral[[ID ]],TabelaGeral[[ Tipo Ativo ]])</f>
        <v xml:space="preserve"> FII       </v>
      </c>
      <c r="F48" s="21" t="str">
        <f>_xlfn.XLOOKUP(TabelaDividendos[[#This Row],[ID]],TabelaGeral[[ID ]],TabelaGeral[[ Setor Segmento]])</f>
        <v xml:space="preserve"> Logística</v>
      </c>
      <c r="G48" s="31">
        <v>9.48</v>
      </c>
    </row>
    <row r="49" spans="2:7">
      <c r="B49" s="21">
        <v>3</v>
      </c>
      <c r="C49" s="22">
        <v>46014</v>
      </c>
      <c r="D49" s="21" t="str">
        <f>_xlfn.XLOOKUP(TabelaDividendos[[#This Row],[ID]],Tabela1[[ID ]],Tabela1[Ativo])</f>
        <v>XPML11</v>
      </c>
      <c r="E49" s="21" t="str">
        <f>_xlfn.XLOOKUP(TabelaDividendos[[#This Row],[ID]],TabelaGeral[[ID ]],TabelaGeral[[ Tipo Ativo ]])</f>
        <v xml:space="preserve"> FII       </v>
      </c>
      <c r="F49" s="21" t="str">
        <f>_xlfn.XLOOKUP(TabelaDividendos[[#This Row],[ID]],TabelaGeral[[ID ]],TabelaGeral[[ Setor Segmento]])</f>
        <v xml:space="preserve"> Shopping</v>
      </c>
      <c r="G49" s="31">
        <v>11.96</v>
      </c>
    </row>
    <row r="50" spans="2:7">
      <c r="B50" s="21">
        <v>4</v>
      </c>
      <c r="C50" s="22">
        <v>46036</v>
      </c>
      <c r="D50" s="21" t="str">
        <f>_xlfn.XLOOKUP(TabelaDividendos[[#This Row],[ID]],Tabela1[[ID ]],Tabela1[Ativo])</f>
        <v>KNSC11</v>
      </c>
      <c r="E50" s="21" t="str">
        <f>_xlfn.XLOOKUP(TabelaDividendos[[#This Row],[ID]],TabelaGeral[[ID ]],TabelaGeral[[ Tipo Ativo ]])</f>
        <v xml:space="preserve"> FII       </v>
      </c>
      <c r="F50" s="21" t="str">
        <f>_xlfn.XLOOKUP(TabelaDividendos[[#This Row],[ID]],TabelaGeral[[ID ]],TabelaGeral[[ Setor Segmento]])</f>
        <v xml:space="preserve"> Papel (CRI)</v>
      </c>
      <c r="G50" s="31">
        <v>4.2300000000000004</v>
      </c>
    </row>
    <row r="51" spans="2:7">
      <c r="B51" s="21">
        <v>1</v>
      </c>
      <c r="C51" s="22">
        <v>46037</v>
      </c>
      <c r="D51" s="21" t="str">
        <f>_xlfn.XLOOKUP(TabelaDividendos[[#This Row],[ID]],Tabela1[[ID ]],Tabela1[Ativo])</f>
        <v>TRXF11</v>
      </c>
      <c r="E51" s="21" t="str">
        <f>_xlfn.XLOOKUP(TabelaDividendos[[#This Row],[ID]],TabelaGeral[[ID ]],TabelaGeral[[ Tipo Ativo ]])</f>
        <v xml:space="preserve"> FII       </v>
      </c>
      <c r="F51" s="21" t="str">
        <f>_xlfn.XLOOKUP(TabelaDividendos[[#This Row],[ID]],TabelaGeral[[ID ]],TabelaGeral[[ Setor Segmento]])</f>
        <v xml:space="preserve"> Renda Urbana</v>
      </c>
      <c r="G51" s="31">
        <v>15</v>
      </c>
    </row>
    <row r="52" spans="2:7">
      <c r="B52" s="21">
        <v>6</v>
      </c>
      <c r="C52" s="22">
        <v>46037</v>
      </c>
      <c r="D52" s="21" t="str">
        <f>_xlfn.XLOOKUP(TabelaDividendos[[#This Row],[ID]],Tabela1[[ID ]],Tabela1[Ativo])</f>
        <v>RBVA11</v>
      </c>
      <c r="E52" s="21" t="str">
        <f>_xlfn.XLOOKUP(TabelaDividendos[[#This Row],[ID]],TabelaGeral[[ID ]],TabelaGeral[[ Tipo Ativo ]])</f>
        <v xml:space="preserve"> FII       </v>
      </c>
      <c r="F52" s="21" t="str">
        <f>_xlfn.XLOOKUP(TabelaDividendos[[#This Row],[ID]],TabelaGeral[[ID ]],TabelaGeral[[ Setor Segmento]])</f>
        <v xml:space="preserve"> Renda Urbana</v>
      </c>
      <c r="G52" s="31">
        <v>4.05</v>
      </c>
    </row>
    <row r="53" spans="2:7">
      <c r="B53" s="21">
        <v>7</v>
      </c>
      <c r="C53" s="22">
        <v>46037</v>
      </c>
      <c r="D53" s="21" t="str">
        <f>_xlfn.XLOOKUP(TabelaDividendos[[#This Row],[ID]],Tabela1[[ID ]],Tabela1[Ativo])</f>
        <v>TRXY11</v>
      </c>
      <c r="E53" s="21" t="str">
        <f>_xlfn.XLOOKUP(TabelaDividendos[[#This Row],[ID]],TabelaGeral[[ID ]],TabelaGeral[[ Tipo Ativo ]])</f>
        <v xml:space="preserve"> FII       </v>
      </c>
      <c r="F53" s="21" t="str">
        <f>_xlfn.XLOOKUP(TabelaDividendos[[#This Row],[ID]],TabelaGeral[[ID ]],TabelaGeral[[ Setor Segmento]])</f>
        <v xml:space="preserve"> Híbrido</v>
      </c>
      <c r="G53" s="31">
        <v>1.3</v>
      </c>
    </row>
    <row r="54" spans="2:7">
      <c r="B54" s="21">
        <v>2</v>
      </c>
      <c r="C54" s="22">
        <v>46045</v>
      </c>
      <c r="D54" s="21" t="str">
        <f>_xlfn.XLOOKUP(TabelaDividendos[[#This Row],[ID]],Tabela1[[ID ]],Tabela1[Ativo])</f>
        <v>BTLG11</v>
      </c>
      <c r="E54" s="21" t="str">
        <f>_xlfn.XLOOKUP(TabelaDividendos[[#This Row],[ID]],TabelaGeral[[ID ]],TabelaGeral[[ Tipo Ativo ]])</f>
        <v xml:space="preserve"> FII       </v>
      </c>
      <c r="F54" s="21" t="str">
        <f>_xlfn.XLOOKUP(TabelaDividendos[[#This Row],[ID]],TabelaGeral[[ID ]],TabelaGeral[[ Setor Segmento]])</f>
        <v xml:space="preserve"> Logística</v>
      </c>
      <c r="G54" s="31">
        <v>9.48</v>
      </c>
    </row>
    <row r="55" spans="2:7">
      <c r="B55" s="21">
        <v>3</v>
      </c>
      <c r="C55" s="22">
        <v>46045</v>
      </c>
      <c r="D55" s="21" t="str">
        <f>_xlfn.XLOOKUP(TabelaDividendos[[#This Row],[ID]],Tabela1[[ID ]],Tabela1[Ativo])</f>
        <v>XPML11</v>
      </c>
      <c r="E55" s="21" t="str">
        <f>_xlfn.XLOOKUP(TabelaDividendos[[#This Row],[ID]],TabelaGeral[[ID ]],TabelaGeral[[ Tipo Ativo ]])</f>
        <v xml:space="preserve"> FII       </v>
      </c>
      <c r="F55" s="21" t="str">
        <f>_xlfn.XLOOKUP(TabelaDividendos[[#This Row],[ID]],TabelaGeral[[ID ]],TabelaGeral[[ Setor Segmento]])</f>
        <v xml:space="preserve"> Shopping</v>
      </c>
      <c r="G55" s="31">
        <v>12.88</v>
      </c>
    </row>
    <row r="56" spans="2:7">
      <c r="B56" s="21">
        <v>4</v>
      </c>
      <c r="C56" s="22">
        <v>46065</v>
      </c>
      <c r="D56" s="21" t="str">
        <f>_xlfn.XLOOKUP(TabelaDividendos[[#This Row],[ID]],Tabela1[[ID ]],Tabela1[Ativo])</f>
        <v>KNSC11</v>
      </c>
      <c r="E56" s="21" t="str">
        <f>_xlfn.XLOOKUP(TabelaDividendos[[#This Row],[ID]],TabelaGeral[[ID ]],TabelaGeral[[ Tipo Ativo ]])</f>
        <v xml:space="preserve"> FII       </v>
      </c>
      <c r="F56" s="21" t="str">
        <f>_xlfn.XLOOKUP(TabelaDividendos[[#This Row],[ID]],TabelaGeral[[ID ]],TabelaGeral[[ Setor Segmento]])</f>
        <v xml:space="preserve"> Papel (CRI)</v>
      </c>
      <c r="G56" s="31">
        <v>5.13</v>
      </c>
    </row>
    <row r="57" spans="2:7">
      <c r="B57" s="21">
        <v>1</v>
      </c>
      <c r="C57" s="22">
        <v>46066</v>
      </c>
      <c r="D57" s="21" t="str">
        <f>_xlfn.XLOOKUP(TabelaDividendos[[#This Row],[ID]],Tabela1[[ID ]],Tabela1[Ativo])</f>
        <v>TRXF11</v>
      </c>
      <c r="E57" s="21" t="str">
        <f>_xlfn.XLOOKUP(TabelaDividendos[[#This Row],[ID]],TabelaGeral[[ID ]],TabelaGeral[[ Tipo Ativo ]])</f>
        <v xml:space="preserve"> FII       </v>
      </c>
      <c r="F57" s="21" t="str">
        <f>_xlfn.XLOOKUP(TabelaDividendos[[#This Row],[ID]],TabelaGeral[[ID ]],TabelaGeral[[ Setor Segmento]])</f>
        <v xml:space="preserve"> Renda Urbana</v>
      </c>
      <c r="G57" s="31">
        <v>14.88</v>
      </c>
    </row>
    <row r="58" spans="2:7">
      <c r="B58" s="21">
        <v>6</v>
      </c>
      <c r="C58" s="22">
        <v>46066</v>
      </c>
      <c r="D58" s="21" t="str">
        <f>_xlfn.XLOOKUP(TabelaDividendos[[#This Row],[ID]],Tabela1[[ID ]],Tabela1[Ativo])</f>
        <v>RBVA11</v>
      </c>
      <c r="E58" s="21" t="str">
        <f>_xlfn.XLOOKUP(TabelaDividendos[[#This Row],[ID]],TabelaGeral[[ID ]],TabelaGeral[[ Tipo Ativo ]])</f>
        <v xml:space="preserve"> FII       </v>
      </c>
      <c r="F58" s="21" t="str">
        <f>_xlfn.XLOOKUP(TabelaDividendos[[#This Row],[ID]],TabelaGeral[[ID ]],TabelaGeral[[ Setor Segmento]])</f>
        <v xml:space="preserve"> Renda Urbana</v>
      </c>
      <c r="G58" s="31">
        <v>4.95</v>
      </c>
    </row>
    <row r="59" spans="2:7">
      <c r="B59" s="21">
        <v>7</v>
      </c>
      <c r="C59" s="22">
        <v>46066</v>
      </c>
      <c r="D59" s="21" t="str">
        <f>_xlfn.XLOOKUP(TabelaDividendos[[#This Row],[ID]],Tabela1[[ID ]],Tabela1[Ativo])</f>
        <v>TRXY11</v>
      </c>
      <c r="E59" s="21" t="str">
        <f>_xlfn.XLOOKUP(TabelaDividendos[[#This Row],[ID]],TabelaGeral[[ID ]],TabelaGeral[[ Tipo Ativo ]])</f>
        <v xml:space="preserve"> FII       </v>
      </c>
      <c r="F59" s="21" t="str">
        <f>_xlfn.XLOOKUP(TabelaDividendos[[#This Row],[ID]],TabelaGeral[[ID ]],TabelaGeral[[ Setor Segmento]])</f>
        <v xml:space="preserve"> Híbrido</v>
      </c>
      <c r="G59" s="31">
        <v>2.64</v>
      </c>
    </row>
    <row r="60" spans="2:7">
      <c r="B60" s="21">
        <v>2</v>
      </c>
      <c r="C60" s="22">
        <v>46078</v>
      </c>
      <c r="D60" s="21" t="str">
        <f>_xlfn.XLOOKUP(TabelaDividendos[[#This Row],[ID]],Tabela1[[ID ]],Tabela1[Ativo])</f>
        <v>BTLG11</v>
      </c>
      <c r="E60" s="21" t="str">
        <f>_xlfn.XLOOKUP(TabelaDividendos[[#This Row],[ID]],TabelaGeral[[ID ]],TabelaGeral[[ Tipo Ativo ]])</f>
        <v xml:space="preserve"> FII       </v>
      </c>
      <c r="F60" s="21" t="str">
        <f>_xlfn.XLOOKUP(TabelaDividendos[[#This Row],[ID]],TabelaGeral[[ID ]],TabelaGeral[[ Setor Segmento]])</f>
        <v xml:space="preserve"> Logística</v>
      </c>
      <c r="G60" s="31">
        <v>10.4</v>
      </c>
    </row>
    <row r="61" spans="2:7">
      <c r="B61" s="21">
        <v>3</v>
      </c>
      <c r="C61" s="22">
        <v>46078</v>
      </c>
      <c r="D61" s="21" t="str">
        <f>_xlfn.XLOOKUP(TabelaDividendos[[#This Row],[ID]],Tabela1[[ID ]],Tabela1[Ativo])</f>
        <v>XPML11</v>
      </c>
      <c r="E61" s="21" t="str">
        <f>_xlfn.XLOOKUP(TabelaDividendos[[#This Row],[ID]],TabelaGeral[[ID ]],TabelaGeral[[ Tipo Ativo ]])</f>
        <v xml:space="preserve"> FII       </v>
      </c>
      <c r="F61" s="21" t="str">
        <f>_xlfn.XLOOKUP(TabelaDividendos[[#This Row],[ID]],TabelaGeral[[ID ]],TabelaGeral[[ Setor Segmento]])</f>
        <v xml:space="preserve"> Shopping</v>
      </c>
      <c r="G61" s="31">
        <v>12.88</v>
      </c>
    </row>
    <row r="62" spans="2:7">
      <c r="B62" s="23"/>
      <c r="C62" s="24"/>
      <c r="D62" s="21" t="e">
        <f>_xlfn.XLOOKUP(TabelaDividendos[[#This Row],[ID]],Tabela1[[ID ]],Tabela1[Ativo])</f>
        <v>#N/A</v>
      </c>
      <c r="E62" s="21" t="e">
        <f>_xlfn.XLOOKUP(TabelaDividendos[[#This Row],[ID]],TabelaGeral[[ID ]],TabelaGeral[[ Tipo Ativo ]])</f>
        <v>#N/A</v>
      </c>
      <c r="F62" s="21" t="e">
        <f>_xlfn.XLOOKUP(TabelaDividendos[[#This Row],[ID]],TabelaGeral[[ID ]],TabelaGeral[[ Setor Segmento]])</f>
        <v>#N/A</v>
      </c>
      <c r="G62" s="32"/>
    </row>
    <row r="63" spans="2:7">
      <c r="B63" s="23"/>
      <c r="C63" s="24"/>
      <c r="D63" s="21" t="e">
        <f>_xlfn.XLOOKUP(TabelaDividendos[[#This Row],[ID]],Tabela1[[ID ]],Tabela1[Ativo])</f>
        <v>#N/A</v>
      </c>
      <c r="E63" s="21" t="e">
        <f>_xlfn.XLOOKUP(TabelaDividendos[[#This Row],[ID]],TabelaGeral[[ID ]],TabelaGeral[[ Tipo Ativo ]])</f>
        <v>#N/A</v>
      </c>
      <c r="F63" s="21" t="e">
        <f>_xlfn.XLOOKUP(TabelaDividendos[[#This Row],[ID]],TabelaGeral[[ID ]],TabelaGeral[[ Setor Segmento]])</f>
        <v>#N/A</v>
      </c>
      <c r="G63" s="32"/>
    </row>
    <row r="64" spans="2:7">
      <c r="B64" s="23"/>
      <c r="C64" s="24"/>
      <c r="D64" s="21" t="e">
        <f>_xlfn.XLOOKUP(TabelaDividendos[[#This Row],[ID]],Tabela1[[ID ]],Tabela1[Ativo])</f>
        <v>#N/A</v>
      </c>
      <c r="E64" s="21" t="e">
        <f>_xlfn.XLOOKUP(TabelaDividendos[[#This Row],[ID]],TabelaGeral[[ID ]],TabelaGeral[[ Tipo Ativo ]])</f>
        <v>#N/A</v>
      </c>
      <c r="F64" s="21" t="e">
        <f>_xlfn.XLOOKUP(TabelaDividendos[[#This Row],[ID]],TabelaGeral[[ID ]],TabelaGeral[[ Setor Segmento]])</f>
        <v>#N/A</v>
      </c>
      <c r="G64" s="32"/>
    </row>
    <row r="65" spans="2:7">
      <c r="B65" s="23"/>
      <c r="C65" s="24"/>
      <c r="D65" s="21" t="e">
        <f>_xlfn.XLOOKUP(TabelaDividendos[[#This Row],[ID]],Tabela1[[ID ]],Tabela1[Ativo])</f>
        <v>#N/A</v>
      </c>
      <c r="E65" s="21" t="e">
        <f>_xlfn.XLOOKUP(TabelaDividendos[[#This Row],[ID]],TabelaGeral[[ID ]],TabelaGeral[[ Tipo Ativo ]])</f>
        <v>#N/A</v>
      </c>
      <c r="F65" s="21" t="e">
        <f>_xlfn.XLOOKUP(TabelaDividendos[[#This Row],[ID]],TabelaGeral[[ID ]],TabelaGeral[[ Setor Segmento]])</f>
        <v>#N/A</v>
      </c>
      <c r="G65" s="32"/>
    </row>
    <row r="66" spans="2:7">
      <c r="B66" s="23"/>
      <c r="C66" s="24"/>
      <c r="D66" s="21" t="e">
        <f>_xlfn.XLOOKUP(TabelaDividendos[[#This Row],[ID]],Tabela1[[ID ]],Tabela1[Ativo])</f>
        <v>#N/A</v>
      </c>
      <c r="E66" s="21" t="e">
        <f>_xlfn.XLOOKUP(TabelaDividendos[[#This Row],[ID]],TabelaGeral[[ID ]],TabelaGeral[[ Tipo Ativo ]])</f>
        <v>#N/A</v>
      </c>
      <c r="F66" s="21" t="e">
        <f>_xlfn.XLOOKUP(TabelaDividendos[[#This Row],[ID]],TabelaGeral[[ID ]],TabelaGeral[[ Setor Segmento]])</f>
        <v>#N/A</v>
      </c>
      <c r="G66" s="32"/>
    </row>
    <row r="67" spans="2:7">
      <c r="B67" s="23"/>
      <c r="C67" s="24"/>
      <c r="D67" s="21" t="e">
        <f>_xlfn.XLOOKUP(TabelaDividendos[[#This Row],[ID]],Tabela1[[ID ]],Tabela1[Ativo])</f>
        <v>#N/A</v>
      </c>
      <c r="E67" s="21" t="e">
        <f>_xlfn.XLOOKUP(TabelaDividendos[[#This Row],[ID]],TabelaGeral[[ID ]],TabelaGeral[[ Tipo Ativo ]])</f>
        <v>#N/A</v>
      </c>
      <c r="F67" s="21" t="e">
        <f>_xlfn.XLOOKUP(TabelaDividendos[[#This Row],[ID]],TabelaGeral[[ID ]],TabelaGeral[[ Setor Segmento]])</f>
        <v>#N/A</v>
      </c>
      <c r="G67" s="32"/>
    </row>
    <row r="68" spans="2:7">
      <c r="B68" s="23"/>
      <c r="C68" s="24"/>
      <c r="D68" s="21" t="e">
        <f>_xlfn.XLOOKUP(TabelaDividendos[[#This Row],[ID]],Tabela1[[ID ]],Tabela1[Ativo])</f>
        <v>#N/A</v>
      </c>
      <c r="E68" s="21" t="e">
        <f>_xlfn.XLOOKUP(TabelaDividendos[[#This Row],[ID]],TabelaGeral[[ID ]],TabelaGeral[[ Tipo Ativo ]])</f>
        <v>#N/A</v>
      </c>
      <c r="F68" s="21" t="e">
        <f>_xlfn.XLOOKUP(TabelaDividendos[[#This Row],[ID]],TabelaGeral[[ID ]],TabelaGeral[[ Setor Segmento]])</f>
        <v>#N/A</v>
      </c>
      <c r="G68" s="32"/>
    </row>
    <row r="69" spans="2:7">
      <c r="B69" s="23"/>
      <c r="C69" s="24"/>
      <c r="D69" s="21" t="e">
        <f>_xlfn.XLOOKUP(TabelaDividendos[[#This Row],[ID]],Tabela1[[ID ]],Tabela1[Ativo])</f>
        <v>#N/A</v>
      </c>
      <c r="E69" s="21" t="e">
        <f>_xlfn.XLOOKUP(TabelaDividendos[[#This Row],[ID]],TabelaGeral[[ID ]],TabelaGeral[[ Tipo Ativo ]])</f>
        <v>#N/A</v>
      </c>
      <c r="F69" s="21" t="e">
        <f>_xlfn.XLOOKUP(TabelaDividendos[[#This Row],[ID]],TabelaGeral[[ID ]],TabelaGeral[[ Setor Segmento]])</f>
        <v>#N/A</v>
      </c>
      <c r="G69" s="32"/>
    </row>
    <row r="70" spans="2:7">
      <c r="B70" s="23"/>
      <c r="C70" s="24"/>
      <c r="D70" s="21" t="e">
        <f>_xlfn.XLOOKUP(TabelaDividendos[[#This Row],[ID]],Tabela1[[ID ]],Tabela1[Ativo])</f>
        <v>#N/A</v>
      </c>
      <c r="E70" s="21" t="e">
        <f>_xlfn.XLOOKUP(TabelaDividendos[[#This Row],[ID]],TabelaGeral[[ID ]],TabelaGeral[[ Tipo Ativo ]])</f>
        <v>#N/A</v>
      </c>
      <c r="F70" s="21" t="e">
        <f>_xlfn.XLOOKUP(TabelaDividendos[[#This Row],[ID]],TabelaGeral[[ID ]],TabelaGeral[[ Setor Segmento]])</f>
        <v>#N/A</v>
      </c>
      <c r="G70" s="32"/>
    </row>
    <row r="71" spans="2:7">
      <c r="B71" s="23"/>
      <c r="C71" s="24"/>
      <c r="D71" s="21" t="e">
        <f>_xlfn.XLOOKUP(TabelaDividendos[[#This Row],[ID]],Tabela1[[ID ]],Tabela1[Ativo])</f>
        <v>#N/A</v>
      </c>
      <c r="E71" s="21" t="e">
        <f>_xlfn.XLOOKUP(TabelaDividendos[[#This Row],[ID]],TabelaGeral[[ID ]],TabelaGeral[[ Tipo Ativo ]])</f>
        <v>#N/A</v>
      </c>
      <c r="F71" s="21" t="e">
        <f>_xlfn.XLOOKUP(TabelaDividendos[[#This Row],[ID]],TabelaGeral[[ID ]],TabelaGeral[[ Setor Segmento]])</f>
        <v>#N/A</v>
      </c>
      <c r="G71" s="32"/>
    </row>
    <row r="72" spans="2:7">
      <c r="B72" s="23"/>
      <c r="C72" s="24"/>
      <c r="D72" s="21" t="e">
        <f>_xlfn.XLOOKUP(TabelaDividendos[[#This Row],[ID]],Tabela1[[ID ]],Tabela1[Ativo])</f>
        <v>#N/A</v>
      </c>
      <c r="E72" s="21" t="e">
        <f>_xlfn.XLOOKUP(TabelaDividendos[[#This Row],[ID]],TabelaGeral[[ID ]],TabelaGeral[[ Tipo Ativo ]])</f>
        <v>#N/A</v>
      </c>
      <c r="F72" s="21" t="e">
        <f>_xlfn.XLOOKUP(TabelaDividendos[[#This Row],[ID]],TabelaGeral[[ID ]],TabelaGeral[[ Setor Segmento]])</f>
        <v>#N/A</v>
      </c>
      <c r="G72" s="32"/>
    </row>
    <row r="73" spans="2:7">
      <c r="B73" s="23"/>
      <c r="C73" s="24"/>
      <c r="D73" s="21" t="e">
        <f>_xlfn.XLOOKUP(TabelaDividendos[[#This Row],[ID]],Tabela1[[ID ]],Tabela1[Ativo])</f>
        <v>#N/A</v>
      </c>
      <c r="E73" s="21" t="e">
        <f>_xlfn.XLOOKUP(TabelaDividendos[[#This Row],[ID]],TabelaGeral[[ID ]],TabelaGeral[[ Tipo Ativo ]])</f>
        <v>#N/A</v>
      </c>
      <c r="F73" s="21" t="e">
        <f>_xlfn.XLOOKUP(TabelaDividendos[[#This Row],[ID]],TabelaGeral[[ID ]],TabelaGeral[[ Setor Segmento]])</f>
        <v>#N/A</v>
      </c>
      <c r="G73" s="32"/>
    </row>
    <row r="74" spans="2:7">
      <c r="B74" s="23"/>
      <c r="C74" s="24"/>
      <c r="D74" s="21" t="e">
        <f>_xlfn.XLOOKUP(TabelaDividendos[[#This Row],[ID]],Tabela1[[ID ]],Tabela1[Ativo])</f>
        <v>#N/A</v>
      </c>
      <c r="E74" s="21" t="e">
        <f>_xlfn.XLOOKUP(TabelaDividendos[[#This Row],[ID]],TabelaGeral[[ID ]],TabelaGeral[[ Tipo Ativo ]])</f>
        <v>#N/A</v>
      </c>
      <c r="F74" s="21" t="e">
        <f>_xlfn.XLOOKUP(TabelaDividendos[[#This Row],[ID]],TabelaGeral[[ID ]],TabelaGeral[[ Setor Segmento]])</f>
        <v>#N/A</v>
      </c>
      <c r="G74" s="32"/>
    </row>
    <row r="75" spans="2:7">
      <c r="B75" s="23"/>
      <c r="C75" s="24"/>
      <c r="D75" s="21" t="e">
        <f>_xlfn.XLOOKUP(TabelaDividendos[[#This Row],[ID]],Tabela1[[ID ]],Tabela1[Ativo])</f>
        <v>#N/A</v>
      </c>
      <c r="E75" s="21" t="e">
        <f>_xlfn.XLOOKUP(TabelaDividendos[[#This Row],[ID]],TabelaGeral[[ID ]],TabelaGeral[[ Tipo Ativo ]])</f>
        <v>#N/A</v>
      </c>
      <c r="F75" s="21" t="e">
        <f>_xlfn.XLOOKUP(TabelaDividendos[[#This Row],[ID]],TabelaGeral[[ID ]],TabelaGeral[[ Setor Segmento]])</f>
        <v>#N/A</v>
      </c>
      <c r="G75" s="32"/>
    </row>
    <row r="76" spans="2:7">
      <c r="B76" s="23"/>
      <c r="C76" s="24"/>
      <c r="D76" s="21" t="e">
        <f>_xlfn.XLOOKUP(TabelaDividendos[[#This Row],[ID]],Tabela1[[ID ]],Tabela1[Ativo])</f>
        <v>#N/A</v>
      </c>
      <c r="E76" s="21" t="e">
        <f>_xlfn.XLOOKUP(TabelaDividendos[[#This Row],[ID]],TabelaGeral[[ID ]],TabelaGeral[[ Tipo Ativo ]])</f>
        <v>#N/A</v>
      </c>
      <c r="F76" s="21" t="e">
        <f>_xlfn.XLOOKUP(TabelaDividendos[[#This Row],[ID]],TabelaGeral[[ID ]],TabelaGeral[[ Setor Segmento]])</f>
        <v>#N/A</v>
      </c>
      <c r="G76" s="32"/>
    </row>
    <row r="77" spans="2:7">
      <c r="B77" s="23"/>
      <c r="C77" s="24"/>
      <c r="D77" s="21" t="e">
        <f>_xlfn.XLOOKUP(TabelaDividendos[[#This Row],[ID]],Tabela1[[ID ]],Tabela1[Ativo])</f>
        <v>#N/A</v>
      </c>
      <c r="E77" s="21" t="e">
        <f>_xlfn.XLOOKUP(TabelaDividendos[[#This Row],[ID]],TabelaGeral[[ID ]],TabelaGeral[[ Tipo Ativo ]])</f>
        <v>#N/A</v>
      </c>
      <c r="F77" s="21" t="e">
        <f>_xlfn.XLOOKUP(TabelaDividendos[[#This Row],[ID]],TabelaGeral[[ID ]],TabelaGeral[[ Setor Segmento]])</f>
        <v>#N/A</v>
      </c>
      <c r="G77" s="32"/>
    </row>
    <row r="78" spans="2:7">
      <c r="B78" s="23"/>
      <c r="C78" s="24"/>
      <c r="D78" s="21" t="e">
        <f>_xlfn.XLOOKUP(TabelaDividendos[[#This Row],[ID]],Tabela1[[ID ]],Tabela1[Ativo])</f>
        <v>#N/A</v>
      </c>
      <c r="E78" s="21" t="e">
        <f>_xlfn.XLOOKUP(TabelaDividendos[[#This Row],[ID]],TabelaGeral[[ID ]],TabelaGeral[[ Tipo Ativo ]])</f>
        <v>#N/A</v>
      </c>
      <c r="F78" s="21" t="e">
        <f>_xlfn.XLOOKUP(TabelaDividendos[[#This Row],[ID]],TabelaGeral[[ID ]],TabelaGeral[[ Setor Segmento]])</f>
        <v>#N/A</v>
      </c>
      <c r="G78" s="32"/>
    </row>
    <row r="79" spans="2:7">
      <c r="B79" s="23"/>
      <c r="C79" s="24"/>
      <c r="D79" s="21" t="e">
        <f>_xlfn.XLOOKUP(TabelaDividendos[[#This Row],[ID]],Tabela1[[ID ]],Tabela1[Ativo])</f>
        <v>#N/A</v>
      </c>
      <c r="E79" s="21" t="e">
        <f>_xlfn.XLOOKUP(TabelaDividendos[[#This Row],[ID]],TabelaGeral[[ID ]],TabelaGeral[[ Tipo Ativo ]])</f>
        <v>#N/A</v>
      </c>
      <c r="F79" s="21" t="e">
        <f>_xlfn.XLOOKUP(TabelaDividendos[[#This Row],[ID]],TabelaGeral[[ID ]],TabelaGeral[[ Setor Segmento]])</f>
        <v>#N/A</v>
      </c>
      <c r="G79" s="32"/>
    </row>
    <row r="80" spans="2:7">
      <c r="B80" s="23"/>
      <c r="C80" s="24"/>
      <c r="D80" s="21" t="e">
        <f>_xlfn.XLOOKUP(TabelaDividendos[[#This Row],[ID]],Tabela1[[ID ]],Tabela1[Ativo])</f>
        <v>#N/A</v>
      </c>
      <c r="E80" s="21" t="e">
        <f>_xlfn.XLOOKUP(TabelaDividendos[[#This Row],[ID]],TabelaGeral[[ID ]],TabelaGeral[[ Tipo Ativo ]])</f>
        <v>#N/A</v>
      </c>
      <c r="F80" s="21" t="e">
        <f>_xlfn.XLOOKUP(TabelaDividendos[[#This Row],[ID]],TabelaGeral[[ID ]],TabelaGeral[[ Setor Segmento]])</f>
        <v>#N/A</v>
      </c>
      <c r="G80" s="32"/>
    </row>
    <row r="81" spans="2:7">
      <c r="B81" s="23"/>
      <c r="C81" s="24"/>
      <c r="D81" s="21" t="e">
        <f>_xlfn.XLOOKUP(TabelaDividendos[[#This Row],[ID]],Tabela1[[ID ]],Tabela1[Ativo])</f>
        <v>#N/A</v>
      </c>
      <c r="E81" s="21" t="e">
        <f>_xlfn.XLOOKUP(TabelaDividendos[[#This Row],[ID]],TabelaGeral[[ID ]],TabelaGeral[[ Tipo Ativo ]])</f>
        <v>#N/A</v>
      </c>
      <c r="F81" s="21" t="e">
        <f>_xlfn.XLOOKUP(TabelaDividendos[[#This Row],[ID]],TabelaGeral[[ID ]],TabelaGeral[[ Setor Segmento]])</f>
        <v>#N/A</v>
      </c>
      <c r="G81" s="32"/>
    </row>
    <row r="82" spans="2:7">
      <c r="B82" s="23"/>
      <c r="C82" s="24"/>
      <c r="D82" s="21" t="e">
        <f>_xlfn.XLOOKUP(TabelaDividendos[[#This Row],[ID]],Tabela1[[ID ]],Tabela1[Ativo])</f>
        <v>#N/A</v>
      </c>
      <c r="E82" s="21" t="e">
        <f>_xlfn.XLOOKUP(TabelaDividendos[[#This Row],[ID]],TabelaGeral[[ID ]],TabelaGeral[[ Tipo Ativo ]])</f>
        <v>#N/A</v>
      </c>
      <c r="F82" s="21" t="e">
        <f>_xlfn.XLOOKUP(TabelaDividendos[[#This Row],[ID]],TabelaGeral[[ID ]],TabelaGeral[[ Setor Segmento]])</f>
        <v>#N/A</v>
      </c>
      <c r="G82" s="32"/>
    </row>
    <row r="83" spans="2:7">
      <c r="B83" s="23"/>
      <c r="C83" s="24"/>
      <c r="D83" s="21" t="e">
        <f>_xlfn.XLOOKUP(TabelaDividendos[[#This Row],[ID]],Tabela1[[ID ]],Tabela1[Ativo])</f>
        <v>#N/A</v>
      </c>
      <c r="E83" s="21" t="e">
        <f>_xlfn.XLOOKUP(TabelaDividendos[[#This Row],[ID]],TabelaGeral[[ID ]],TabelaGeral[[ Tipo Ativo ]])</f>
        <v>#N/A</v>
      </c>
      <c r="F83" s="21" t="e">
        <f>_xlfn.XLOOKUP(TabelaDividendos[[#This Row],[ID]],TabelaGeral[[ID ]],TabelaGeral[[ Setor Segmento]])</f>
        <v>#N/A</v>
      </c>
      <c r="G83" s="32"/>
    </row>
    <row r="84" spans="2:7">
      <c r="B84" s="23"/>
      <c r="C84" s="24"/>
      <c r="D84" s="21" t="e">
        <f>_xlfn.XLOOKUP(TabelaDividendos[[#This Row],[ID]],Tabela1[[ID ]],Tabela1[Ativo])</f>
        <v>#N/A</v>
      </c>
      <c r="E84" s="21" t="e">
        <f>_xlfn.XLOOKUP(TabelaDividendos[[#This Row],[ID]],TabelaGeral[[ID ]],TabelaGeral[[ Tipo Ativo ]])</f>
        <v>#N/A</v>
      </c>
      <c r="F84" s="21" t="e">
        <f>_xlfn.XLOOKUP(TabelaDividendos[[#This Row],[ID]],TabelaGeral[[ID ]],TabelaGeral[[ Setor Segmento]])</f>
        <v>#N/A</v>
      </c>
      <c r="G84" s="32"/>
    </row>
    <row r="85" spans="2:7">
      <c r="B85" s="23"/>
      <c r="C85" s="24"/>
      <c r="D85" s="21" t="e">
        <f>_xlfn.XLOOKUP(TabelaDividendos[[#This Row],[ID]],Tabela1[[ID ]],Tabela1[Ativo])</f>
        <v>#N/A</v>
      </c>
      <c r="E85" s="21" t="e">
        <f>_xlfn.XLOOKUP(TabelaDividendos[[#This Row],[ID]],TabelaGeral[[ID ]],TabelaGeral[[ Tipo Ativo ]])</f>
        <v>#N/A</v>
      </c>
      <c r="F85" s="21" t="e">
        <f>_xlfn.XLOOKUP(TabelaDividendos[[#This Row],[ID]],TabelaGeral[[ID ]],TabelaGeral[[ Setor Segmento]])</f>
        <v>#N/A</v>
      </c>
      <c r="G85" s="32"/>
    </row>
    <row r="86" spans="2:7">
      <c r="B86" s="23"/>
      <c r="C86" s="24"/>
      <c r="D86" s="21" t="e">
        <f>_xlfn.XLOOKUP(TabelaDividendos[[#This Row],[ID]],Tabela1[[ID ]],Tabela1[Ativo])</f>
        <v>#N/A</v>
      </c>
      <c r="E86" s="21" t="e">
        <f>_xlfn.XLOOKUP(TabelaDividendos[[#This Row],[ID]],TabelaGeral[[ID ]],TabelaGeral[[ Tipo Ativo ]])</f>
        <v>#N/A</v>
      </c>
      <c r="F86" s="21" t="e">
        <f>_xlfn.XLOOKUP(TabelaDividendos[[#This Row],[ID]],TabelaGeral[[ID ]],TabelaGeral[[ Setor Segmento]])</f>
        <v>#N/A</v>
      </c>
      <c r="G86" s="32"/>
    </row>
    <row r="87" spans="2:7">
      <c r="B87" s="23"/>
      <c r="C87" s="24"/>
      <c r="D87" s="21" t="e">
        <f>_xlfn.XLOOKUP(TabelaDividendos[[#This Row],[ID]],Tabela1[[ID ]],Tabela1[Ativo])</f>
        <v>#N/A</v>
      </c>
      <c r="E87" s="21" t="e">
        <f>_xlfn.XLOOKUP(TabelaDividendos[[#This Row],[ID]],TabelaGeral[[ID ]],TabelaGeral[[ Tipo Ativo ]])</f>
        <v>#N/A</v>
      </c>
      <c r="F87" s="21" t="e">
        <f>_xlfn.XLOOKUP(TabelaDividendos[[#This Row],[ID]],TabelaGeral[[ID ]],TabelaGeral[[ Setor Segmento]])</f>
        <v>#N/A</v>
      </c>
      <c r="G87" s="32"/>
    </row>
    <row r="88" spans="2:7">
      <c r="B88" s="23"/>
      <c r="C88" s="24"/>
      <c r="D88" s="21" t="e">
        <f>_xlfn.XLOOKUP(TabelaDividendos[[#This Row],[ID]],Tabela1[[ID ]],Tabela1[Ativo])</f>
        <v>#N/A</v>
      </c>
      <c r="E88" s="21" t="e">
        <f>_xlfn.XLOOKUP(TabelaDividendos[[#This Row],[ID]],TabelaGeral[[ID ]],TabelaGeral[[ Tipo Ativo ]])</f>
        <v>#N/A</v>
      </c>
      <c r="F88" s="21" t="e">
        <f>_xlfn.XLOOKUP(TabelaDividendos[[#This Row],[ID]],TabelaGeral[[ID ]],TabelaGeral[[ Setor Segmento]])</f>
        <v>#N/A</v>
      </c>
      <c r="G88" s="32"/>
    </row>
    <row r="89" spans="2:7">
      <c r="B89" s="23"/>
      <c r="C89" s="24"/>
      <c r="D89" s="21" t="e">
        <f>_xlfn.XLOOKUP(TabelaDividendos[[#This Row],[ID]],Tabela1[[ID ]],Tabela1[Ativo])</f>
        <v>#N/A</v>
      </c>
      <c r="E89" s="21" t="e">
        <f>_xlfn.XLOOKUP(TabelaDividendos[[#This Row],[ID]],TabelaGeral[[ID ]],TabelaGeral[[ Tipo Ativo ]])</f>
        <v>#N/A</v>
      </c>
      <c r="F89" s="21" t="e">
        <f>_xlfn.XLOOKUP(TabelaDividendos[[#This Row],[ID]],TabelaGeral[[ID ]],TabelaGeral[[ Setor Segmento]])</f>
        <v>#N/A</v>
      </c>
      <c r="G89" s="32"/>
    </row>
    <row r="90" spans="2:7">
      <c r="B90" s="23"/>
      <c r="C90" s="24"/>
      <c r="D90" s="21" t="e">
        <f>_xlfn.XLOOKUP(TabelaDividendos[[#This Row],[ID]],Tabela1[[ID ]],Tabela1[Ativo])</f>
        <v>#N/A</v>
      </c>
      <c r="E90" s="21" t="e">
        <f>_xlfn.XLOOKUP(TabelaDividendos[[#This Row],[ID]],TabelaGeral[[ID ]],TabelaGeral[[ Tipo Ativo ]])</f>
        <v>#N/A</v>
      </c>
      <c r="F90" s="21" t="e">
        <f>_xlfn.XLOOKUP(TabelaDividendos[[#This Row],[ID]],TabelaGeral[[ID ]],TabelaGeral[[ Setor Segmento]])</f>
        <v>#N/A</v>
      </c>
      <c r="G90" s="32"/>
    </row>
    <row r="91" spans="2:7">
      <c r="B91" s="23"/>
      <c r="C91" s="24"/>
      <c r="D91" s="21" t="e">
        <f>_xlfn.XLOOKUP(TabelaDividendos[[#This Row],[ID]],Tabela1[[ID ]],Tabela1[Ativo])</f>
        <v>#N/A</v>
      </c>
      <c r="E91" s="21" t="e">
        <f>_xlfn.XLOOKUP(TabelaDividendos[[#This Row],[ID]],TabelaGeral[[ID ]],TabelaGeral[[ Tipo Ativo ]])</f>
        <v>#N/A</v>
      </c>
      <c r="F91" s="21" t="e">
        <f>_xlfn.XLOOKUP(TabelaDividendos[[#This Row],[ID]],TabelaGeral[[ID ]],TabelaGeral[[ Setor Segmento]])</f>
        <v>#N/A</v>
      </c>
      <c r="G91" s="32"/>
    </row>
    <row r="92" spans="2:7">
      <c r="B92" s="23"/>
      <c r="C92" s="24"/>
      <c r="D92" s="21" t="e">
        <f>_xlfn.XLOOKUP(TabelaDividendos[[#This Row],[ID]],Tabela1[[ID ]],Tabela1[Ativo])</f>
        <v>#N/A</v>
      </c>
      <c r="E92" s="21" t="e">
        <f>_xlfn.XLOOKUP(TabelaDividendos[[#This Row],[ID]],TabelaGeral[[ID ]],TabelaGeral[[ Tipo Ativo ]])</f>
        <v>#N/A</v>
      </c>
      <c r="F92" s="21" t="e">
        <f>_xlfn.XLOOKUP(TabelaDividendos[[#This Row],[ID]],TabelaGeral[[ID ]],TabelaGeral[[ Setor Segmento]])</f>
        <v>#N/A</v>
      </c>
      <c r="G92" s="32"/>
    </row>
    <row r="93" spans="2:7">
      <c r="B93" s="23"/>
      <c r="C93" s="24"/>
      <c r="D93" s="21" t="e">
        <f>_xlfn.XLOOKUP(TabelaDividendos[[#This Row],[ID]],Tabela1[[ID ]],Tabela1[Ativo])</f>
        <v>#N/A</v>
      </c>
      <c r="E93" s="21" t="e">
        <f>_xlfn.XLOOKUP(TabelaDividendos[[#This Row],[ID]],TabelaGeral[[ID ]],TabelaGeral[[ Tipo Ativo ]])</f>
        <v>#N/A</v>
      </c>
      <c r="F93" s="21" t="e">
        <f>_xlfn.XLOOKUP(TabelaDividendos[[#This Row],[ID]],TabelaGeral[[ID ]],TabelaGeral[[ Setor Segmento]])</f>
        <v>#N/A</v>
      </c>
      <c r="G93" s="32"/>
    </row>
    <row r="94" spans="2:7">
      <c r="B94" s="23"/>
      <c r="C94" s="24"/>
      <c r="D94" s="21" t="e">
        <f>_xlfn.XLOOKUP(TabelaDividendos[[#This Row],[ID]],Tabela1[[ID ]],Tabela1[Ativo])</f>
        <v>#N/A</v>
      </c>
      <c r="E94" s="21" t="e">
        <f>_xlfn.XLOOKUP(TabelaDividendos[[#This Row],[ID]],TabelaGeral[[ID ]],TabelaGeral[[ Tipo Ativo ]])</f>
        <v>#N/A</v>
      </c>
      <c r="F94" s="21" t="e">
        <f>_xlfn.XLOOKUP(TabelaDividendos[[#This Row],[ID]],TabelaGeral[[ID ]],TabelaGeral[[ Setor Segmento]])</f>
        <v>#N/A</v>
      </c>
      <c r="G94" s="32"/>
    </row>
    <row r="95" spans="2:7">
      <c r="B95" s="23"/>
      <c r="C95" s="24"/>
      <c r="D95" s="21" t="e">
        <f>_xlfn.XLOOKUP(TabelaDividendos[[#This Row],[ID]],Tabela1[[ID ]],Tabela1[Ativo])</f>
        <v>#N/A</v>
      </c>
      <c r="E95" s="21" t="e">
        <f>_xlfn.XLOOKUP(TabelaDividendos[[#This Row],[ID]],TabelaGeral[[ID ]],TabelaGeral[[ Tipo Ativo ]])</f>
        <v>#N/A</v>
      </c>
      <c r="F95" s="21" t="e">
        <f>_xlfn.XLOOKUP(TabelaDividendos[[#This Row],[ID]],TabelaGeral[[ID ]],TabelaGeral[[ Setor Segmento]])</f>
        <v>#N/A</v>
      </c>
      <c r="G95" s="32"/>
    </row>
    <row r="96" spans="2:7">
      <c r="B96" s="23"/>
      <c r="C96" s="24"/>
      <c r="D96" s="21" t="e">
        <f>_xlfn.XLOOKUP(TabelaDividendos[[#This Row],[ID]],Tabela1[[ID ]],Tabela1[Ativo])</f>
        <v>#N/A</v>
      </c>
      <c r="E96" s="21" t="e">
        <f>_xlfn.XLOOKUP(TabelaDividendos[[#This Row],[ID]],TabelaGeral[[ID ]],TabelaGeral[[ Tipo Ativo ]])</f>
        <v>#N/A</v>
      </c>
      <c r="F96" s="21" t="e">
        <f>_xlfn.XLOOKUP(TabelaDividendos[[#This Row],[ID]],TabelaGeral[[ID ]],TabelaGeral[[ Setor Segmento]])</f>
        <v>#N/A</v>
      </c>
      <c r="G96" s="32"/>
    </row>
    <row r="97" spans="2:7">
      <c r="B97" s="23"/>
      <c r="C97" s="24"/>
      <c r="D97" s="21" t="e">
        <f>_xlfn.XLOOKUP(TabelaDividendos[[#This Row],[ID]],Tabela1[[ID ]],Tabela1[Ativo])</f>
        <v>#N/A</v>
      </c>
      <c r="E97" s="21" t="e">
        <f>_xlfn.XLOOKUP(TabelaDividendos[[#This Row],[ID]],TabelaGeral[[ID ]],TabelaGeral[[ Tipo Ativo ]])</f>
        <v>#N/A</v>
      </c>
      <c r="F97" s="21" t="e">
        <f>_xlfn.XLOOKUP(TabelaDividendos[[#This Row],[ID]],TabelaGeral[[ID ]],TabelaGeral[[ Setor Segmento]])</f>
        <v>#N/A</v>
      </c>
      <c r="G97" s="32"/>
    </row>
    <row r="98" spans="2:7">
      <c r="B98" s="23"/>
      <c r="C98" s="24"/>
      <c r="D98" s="21" t="e">
        <f>_xlfn.XLOOKUP(TabelaDividendos[[#This Row],[ID]],Tabela1[[ID ]],Tabela1[Ativo])</f>
        <v>#N/A</v>
      </c>
      <c r="E98" s="21" t="e">
        <f>_xlfn.XLOOKUP(TabelaDividendos[[#This Row],[ID]],TabelaGeral[[ID ]],TabelaGeral[[ Tipo Ativo ]])</f>
        <v>#N/A</v>
      </c>
      <c r="F98" s="21" t="e">
        <f>_xlfn.XLOOKUP(TabelaDividendos[[#This Row],[ID]],TabelaGeral[[ID ]],TabelaGeral[[ Setor Segmento]])</f>
        <v>#N/A</v>
      </c>
      <c r="G98" s="32"/>
    </row>
    <row r="99" spans="2:7">
      <c r="B99" s="23"/>
      <c r="C99" s="24"/>
      <c r="D99" s="21" t="e">
        <f>_xlfn.XLOOKUP(TabelaDividendos[[#This Row],[ID]],Tabela1[[ID ]],Tabela1[Ativo])</f>
        <v>#N/A</v>
      </c>
      <c r="E99" s="21" t="e">
        <f>_xlfn.XLOOKUP(TabelaDividendos[[#This Row],[ID]],TabelaGeral[[ID ]],TabelaGeral[[ Tipo Ativo ]])</f>
        <v>#N/A</v>
      </c>
      <c r="F99" s="21" t="e">
        <f>_xlfn.XLOOKUP(TabelaDividendos[[#This Row],[ID]],TabelaGeral[[ID ]],TabelaGeral[[ Setor Segmento]])</f>
        <v>#N/A</v>
      </c>
      <c r="G99" s="32"/>
    </row>
    <row r="100" spans="2:7">
      <c r="B100" s="23"/>
      <c r="C100" s="24"/>
      <c r="D100" s="21" t="e">
        <f>_xlfn.XLOOKUP(TabelaDividendos[[#This Row],[ID]],Tabela1[[ID ]],Tabela1[Ativo])</f>
        <v>#N/A</v>
      </c>
      <c r="E100" s="21" t="e">
        <f>_xlfn.XLOOKUP(TabelaDividendos[[#This Row],[ID]],TabelaGeral[[ID ]],TabelaGeral[[ Tipo Ativo ]])</f>
        <v>#N/A</v>
      </c>
      <c r="F100" s="21" t="e">
        <f>_xlfn.XLOOKUP(TabelaDividendos[[#This Row],[ID]],TabelaGeral[[ID ]],TabelaGeral[[ Setor Segmento]])</f>
        <v>#N/A</v>
      </c>
      <c r="G100" s="32"/>
    </row>
    <row r="101" spans="2:7">
      <c r="B101" s="23"/>
      <c r="C101" s="24"/>
      <c r="D101" s="21" t="e">
        <f>_xlfn.XLOOKUP(TabelaDividendos[[#This Row],[ID]],Tabela1[[ID ]],Tabela1[Ativo])</f>
        <v>#N/A</v>
      </c>
      <c r="E101" s="21" t="e">
        <f>_xlfn.XLOOKUP(TabelaDividendos[[#This Row],[ID]],TabelaGeral[[ID ]],TabelaGeral[[ Tipo Ativo ]])</f>
        <v>#N/A</v>
      </c>
      <c r="F101" s="21" t="e">
        <f>_xlfn.XLOOKUP(TabelaDividendos[[#This Row],[ID]],TabelaGeral[[ID ]],TabelaGeral[[ Setor Segmento]])</f>
        <v>#N/A</v>
      </c>
      <c r="G101" s="32"/>
    </row>
    <row r="102" spans="2:7">
      <c r="B102" s="23"/>
      <c r="C102" s="24"/>
      <c r="D102" s="21" t="e">
        <f>_xlfn.XLOOKUP(TabelaDividendos[[#This Row],[ID]],Tabela1[[ID ]],Tabela1[Ativo])</f>
        <v>#N/A</v>
      </c>
      <c r="E102" s="21" t="e">
        <f>_xlfn.XLOOKUP(TabelaDividendos[[#This Row],[ID]],TabelaGeral[[ID ]],TabelaGeral[[ Tipo Ativo ]])</f>
        <v>#N/A</v>
      </c>
      <c r="F102" s="21" t="e">
        <f>_xlfn.XLOOKUP(TabelaDividendos[[#This Row],[ID]],TabelaGeral[[ID ]],TabelaGeral[[ Setor Segmento]])</f>
        <v>#N/A</v>
      </c>
      <c r="G102" s="32"/>
    </row>
    <row r="103" spans="2:7">
      <c r="B103" s="23"/>
      <c r="C103" s="24"/>
      <c r="D103" s="21" t="e">
        <f>_xlfn.XLOOKUP(TabelaDividendos[[#This Row],[ID]],Tabela1[[ID ]],Tabela1[Ativo])</f>
        <v>#N/A</v>
      </c>
      <c r="E103" s="21" t="e">
        <f>_xlfn.XLOOKUP(TabelaDividendos[[#This Row],[ID]],TabelaGeral[[ID ]],TabelaGeral[[ Tipo Ativo ]])</f>
        <v>#N/A</v>
      </c>
      <c r="F103" s="21" t="e">
        <f>_xlfn.XLOOKUP(TabelaDividendos[[#This Row],[ID]],TabelaGeral[[ID ]],TabelaGeral[[ Setor Segmento]])</f>
        <v>#N/A</v>
      </c>
      <c r="G103" s="32"/>
    </row>
    <row r="104" spans="2:7">
      <c r="B104" s="23"/>
      <c r="C104" s="24"/>
      <c r="D104" s="21" t="e">
        <f>_xlfn.XLOOKUP(TabelaDividendos[[#This Row],[ID]],Tabela1[[ID ]],Tabela1[Ativo])</f>
        <v>#N/A</v>
      </c>
      <c r="E104" s="21" t="e">
        <f>_xlfn.XLOOKUP(TabelaDividendos[[#This Row],[ID]],TabelaGeral[[ID ]],TabelaGeral[[ Tipo Ativo ]])</f>
        <v>#N/A</v>
      </c>
      <c r="F104" s="21" t="e">
        <f>_xlfn.XLOOKUP(TabelaDividendos[[#This Row],[ID]],TabelaGeral[[ID ]],TabelaGeral[[ Setor Segmento]])</f>
        <v>#N/A</v>
      </c>
      <c r="G104" s="32"/>
    </row>
    <row r="105" spans="2:7">
      <c r="B105" s="23"/>
      <c r="C105" s="24"/>
      <c r="D105" s="21" t="e">
        <f>_xlfn.XLOOKUP(TabelaDividendos[[#This Row],[ID]],Tabela1[[ID ]],Tabela1[Ativo])</f>
        <v>#N/A</v>
      </c>
      <c r="E105" s="21" t="e">
        <f>_xlfn.XLOOKUP(TabelaDividendos[[#This Row],[ID]],TabelaGeral[[ID ]],TabelaGeral[[ Tipo Ativo ]])</f>
        <v>#N/A</v>
      </c>
      <c r="F105" s="21" t="e">
        <f>_xlfn.XLOOKUP(TabelaDividendos[[#This Row],[ID]],TabelaGeral[[ID ]],TabelaGeral[[ Setor Segmento]])</f>
        <v>#N/A</v>
      </c>
      <c r="G105" s="32"/>
    </row>
    <row r="106" spans="2:7">
      <c r="B106" s="23"/>
      <c r="C106" s="24"/>
      <c r="D106" s="21" t="e">
        <f>_xlfn.XLOOKUP(TabelaDividendos[[#This Row],[ID]],Tabela1[[ID ]],Tabela1[Ativo])</f>
        <v>#N/A</v>
      </c>
      <c r="E106" s="21" t="e">
        <f>_xlfn.XLOOKUP(TabelaDividendos[[#This Row],[ID]],TabelaGeral[[ID ]],TabelaGeral[[ Tipo Ativo ]])</f>
        <v>#N/A</v>
      </c>
      <c r="F106" s="21" t="e">
        <f>_xlfn.XLOOKUP(TabelaDividendos[[#This Row],[ID]],TabelaGeral[[ID ]],TabelaGeral[[ Setor Segmento]])</f>
        <v>#N/A</v>
      </c>
      <c r="G106" s="32"/>
    </row>
    <row r="107" spans="2:7">
      <c r="B107" s="23"/>
      <c r="C107" s="24"/>
      <c r="D107" s="21" t="e">
        <f>_xlfn.XLOOKUP(TabelaDividendos[[#This Row],[ID]],Tabela1[[ID ]],Tabela1[Ativo])</f>
        <v>#N/A</v>
      </c>
      <c r="E107" s="21" t="e">
        <f>_xlfn.XLOOKUP(TabelaDividendos[[#This Row],[ID]],TabelaGeral[[ID ]],TabelaGeral[[ Tipo Ativo ]])</f>
        <v>#N/A</v>
      </c>
      <c r="F107" s="21" t="e">
        <f>_xlfn.XLOOKUP(TabelaDividendos[[#This Row],[ID]],TabelaGeral[[ID ]],TabelaGeral[[ Setor Segmento]])</f>
        <v>#N/A</v>
      </c>
      <c r="G107" s="32"/>
    </row>
    <row r="108" spans="2:7">
      <c r="B108" s="23"/>
      <c r="C108" s="24"/>
      <c r="D108" s="21" t="e">
        <f>_xlfn.XLOOKUP(TabelaDividendos[[#This Row],[ID]],Tabela1[[ID ]],Tabela1[Ativo])</f>
        <v>#N/A</v>
      </c>
      <c r="E108" s="21" t="e">
        <f>_xlfn.XLOOKUP(TabelaDividendos[[#This Row],[ID]],TabelaGeral[[ID ]],TabelaGeral[[ Tipo Ativo ]])</f>
        <v>#N/A</v>
      </c>
      <c r="F108" s="21" t="e">
        <f>_xlfn.XLOOKUP(TabelaDividendos[[#This Row],[ID]],TabelaGeral[[ID ]],TabelaGeral[[ Setor Segmento]])</f>
        <v>#N/A</v>
      </c>
      <c r="G108" s="32"/>
    </row>
    <row r="109" spans="2:7">
      <c r="B109" s="23"/>
      <c r="C109" s="24"/>
      <c r="D109" s="21" t="e">
        <f>_xlfn.XLOOKUP(TabelaDividendos[[#This Row],[ID]],Tabela1[[ID ]],Tabela1[Ativo])</f>
        <v>#N/A</v>
      </c>
      <c r="E109" s="21" t="e">
        <f>_xlfn.XLOOKUP(TabelaDividendos[[#This Row],[ID]],TabelaGeral[[ID ]],TabelaGeral[[ Tipo Ativo ]])</f>
        <v>#N/A</v>
      </c>
      <c r="F109" s="21" t="e">
        <f>_xlfn.XLOOKUP(TabelaDividendos[[#This Row],[ID]],TabelaGeral[[ID ]],TabelaGeral[[ Setor Segmento]])</f>
        <v>#N/A</v>
      </c>
      <c r="G109" s="32"/>
    </row>
    <row r="110" spans="2:7">
      <c r="B110" s="23"/>
      <c r="C110" s="24"/>
      <c r="D110" s="21" t="e">
        <f>_xlfn.XLOOKUP(TabelaDividendos[[#This Row],[ID]],Tabela1[[ID ]],Tabela1[Ativo])</f>
        <v>#N/A</v>
      </c>
      <c r="E110" s="21" t="e">
        <f>_xlfn.XLOOKUP(TabelaDividendos[[#This Row],[ID]],TabelaGeral[[ID ]],TabelaGeral[[ Tipo Ativo ]])</f>
        <v>#N/A</v>
      </c>
      <c r="F110" s="21" t="e">
        <f>_xlfn.XLOOKUP(TabelaDividendos[[#This Row],[ID]],TabelaGeral[[ID ]],TabelaGeral[[ Setor Segmento]])</f>
        <v>#N/A</v>
      </c>
      <c r="G110" s="32"/>
    </row>
    <row r="111" spans="2:7">
      <c r="B111" s="23"/>
      <c r="C111" s="24"/>
      <c r="D111" s="21" t="e">
        <f>_xlfn.XLOOKUP(TabelaDividendos[[#This Row],[ID]],Tabela1[[ID ]],Tabela1[Ativo])</f>
        <v>#N/A</v>
      </c>
      <c r="E111" s="21" t="e">
        <f>_xlfn.XLOOKUP(TabelaDividendos[[#This Row],[ID]],TabelaGeral[[ID ]],TabelaGeral[[ Tipo Ativo ]])</f>
        <v>#N/A</v>
      </c>
      <c r="F111" s="21" t="e">
        <f>_xlfn.XLOOKUP(TabelaDividendos[[#This Row],[ID]],TabelaGeral[[ID ]],TabelaGeral[[ Setor Segmento]])</f>
        <v>#N/A</v>
      </c>
      <c r="G111" s="32"/>
    </row>
    <row r="112" spans="2:7">
      <c r="B112" s="23"/>
      <c r="C112" s="24"/>
      <c r="D112" s="21" t="e">
        <f>_xlfn.XLOOKUP(TabelaDividendos[[#This Row],[ID]],Tabela1[[ID ]],Tabela1[Ativo])</f>
        <v>#N/A</v>
      </c>
      <c r="E112" s="21" t="e">
        <f>_xlfn.XLOOKUP(TabelaDividendos[[#This Row],[ID]],TabelaGeral[[ID ]],TabelaGeral[[ Tipo Ativo ]])</f>
        <v>#N/A</v>
      </c>
      <c r="F112" s="21" t="e">
        <f>_xlfn.XLOOKUP(TabelaDividendos[[#This Row],[ID]],TabelaGeral[[ID ]],TabelaGeral[[ Setor Segmento]])</f>
        <v>#N/A</v>
      </c>
      <c r="G112" s="32"/>
    </row>
    <row r="113" spans="2:7">
      <c r="B113" s="23"/>
      <c r="C113" s="24"/>
      <c r="D113" s="21" t="e">
        <f>_xlfn.XLOOKUP(TabelaDividendos[[#This Row],[ID]],Tabela1[[ID ]],Tabela1[Ativo])</f>
        <v>#N/A</v>
      </c>
      <c r="E113" s="21" t="e">
        <f>_xlfn.XLOOKUP(TabelaDividendos[[#This Row],[ID]],TabelaGeral[[ID ]],TabelaGeral[[ Tipo Ativo ]])</f>
        <v>#N/A</v>
      </c>
      <c r="F113" s="21" t="e">
        <f>_xlfn.XLOOKUP(TabelaDividendos[[#This Row],[ID]],TabelaGeral[[ID ]],TabelaGeral[[ Setor Segmento]])</f>
        <v>#N/A</v>
      </c>
      <c r="G113" s="32"/>
    </row>
    <row r="114" spans="2:7">
      <c r="B114" s="23"/>
      <c r="C114" s="24"/>
      <c r="D114" s="21" t="e">
        <f>_xlfn.XLOOKUP(TabelaDividendos[[#This Row],[ID]],Tabela1[[ID ]],Tabela1[Ativo])</f>
        <v>#N/A</v>
      </c>
      <c r="E114" s="21" t="e">
        <f>_xlfn.XLOOKUP(TabelaDividendos[[#This Row],[ID]],TabelaGeral[[ID ]],TabelaGeral[[ Tipo Ativo ]])</f>
        <v>#N/A</v>
      </c>
      <c r="F114" s="21" t="e">
        <f>_xlfn.XLOOKUP(TabelaDividendos[[#This Row],[ID]],TabelaGeral[[ID ]],TabelaGeral[[ Setor Segmento]])</f>
        <v>#N/A</v>
      </c>
      <c r="G114" s="32"/>
    </row>
    <row r="115" spans="2:7">
      <c r="B115" s="23"/>
      <c r="C115" s="24"/>
      <c r="D115" s="21" t="e">
        <f>_xlfn.XLOOKUP(TabelaDividendos[[#This Row],[ID]],Tabela1[[ID ]],Tabela1[Ativo])</f>
        <v>#N/A</v>
      </c>
      <c r="E115" s="21" t="e">
        <f>_xlfn.XLOOKUP(TabelaDividendos[[#This Row],[ID]],TabelaGeral[[ID ]],TabelaGeral[[ Tipo Ativo ]])</f>
        <v>#N/A</v>
      </c>
      <c r="F115" s="21" t="e">
        <f>_xlfn.XLOOKUP(TabelaDividendos[[#This Row],[ID]],TabelaGeral[[ID ]],TabelaGeral[[ Setor Segmento]])</f>
        <v>#N/A</v>
      </c>
      <c r="G115" s="32"/>
    </row>
    <row r="116" spans="2:7">
      <c r="B116" s="23"/>
      <c r="C116" s="24"/>
      <c r="D116" s="21" t="e">
        <f>_xlfn.XLOOKUP(TabelaDividendos[[#This Row],[ID]],Tabela1[[ID ]],Tabela1[Ativo])</f>
        <v>#N/A</v>
      </c>
      <c r="E116" s="21" t="e">
        <f>_xlfn.XLOOKUP(TabelaDividendos[[#This Row],[ID]],TabelaGeral[[ID ]],TabelaGeral[[ Tipo Ativo ]])</f>
        <v>#N/A</v>
      </c>
      <c r="F116" s="21" t="e">
        <f>_xlfn.XLOOKUP(TabelaDividendos[[#This Row],[ID]],TabelaGeral[[ID ]],TabelaGeral[[ Setor Segmento]])</f>
        <v>#N/A</v>
      </c>
      <c r="G116" s="32"/>
    </row>
    <row r="117" spans="2:7">
      <c r="B117" s="23"/>
      <c r="C117" s="24"/>
      <c r="D117" s="21" t="e">
        <f>_xlfn.XLOOKUP(TabelaDividendos[[#This Row],[ID]],Tabela1[[ID ]],Tabela1[Ativo])</f>
        <v>#N/A</v>
      </c>
      <c r="E117" s="21" t="e">
        <f>_xlfn.XLOOKUP(TabelaDividendos[[#This Row],[ID]],TabelaGeral[[ID ]],TabelaGeral[[ Tipo Ativo ]])</f>
        <v>#N/A</v>
      </c>
      <c r="F117" s="21" t="e">
        <f>_xlfn.XLOOKUP(TabelaDividendos[[#This Row],[ID]],TabelaGeral[[ID ]],TabelaGeral[[ Setor Segmento]])</f>
        <v>#N/A</v>
      </c>
      <c r="G117" s="32"/>
    </row>
    <row r="118" spans="2:7">
      <c r="B118" s="23"/>
      <c r="C118" s="24"/>
      <c r="D118" s="21" t="e">
        <f>_xlfn.XLOOKUP(TabelaDividendos[[#This Row],[ID]],Tabela1[[ID ]],Tabela1[Ativo])</f>
        <v>#N/A</v>
      </c>
      <c r="E118" s="21" t="e">
        <f>_xlfn.XLOOKUP(TabelaDividendos[[#This Row],[ID]],TabelaGeral[[ID ]],TabelaGeral[[ Tipo Ativo ]])</f>
        <v>#N/A</v>
      </c>
      <c r="F118" s="21" t="e">
        <f>_xlfn.XLOOKUP(TabelaDividendos[[#This Row],[ID]],TabelaGeral[[ID ]],TabelaGeral[[ Setor Segmento]])</f>
        <v>#N/A</v>
      </c>
      <c r="G118" s="32"/>
    </row>
    <row r="119" spans="2:7">
      <c r="B119" s="23"/>
      <c r="C119" s="24"/>
      <c r="D119" s="21" t="e">
        <f>_xlfn.XLOOKUP(TabelaDividendos[[#This Row],[ID]],Tabela1[[ID ]],Tabela1[Ativo])</f>
        <v>#N/A</v>
      </c>
      <c r="E119" s="21" t="e">
        <f>_xlfn.XLOOKUP(TabelaDividendos[[#This Row],[ID]],TabelaGeral[[ID ]],TabelaGeral[[ Tipo Ativo ]])</f>
        <v>#N/A</v>
      </c>
      <c r="F119" s="21" t="e">
        <f>_xlfn.XLOOKUP(TabelaDividendos[[#This Row],[ID]],TabelaGeral[[ID ]],TabelaGeral[[ Setor Segmento]])</f>
        <v>#N/A</v>
      </c>
      <c r="G119" s="32"/>
    </row>
    <row r="120" spans="2:7">
      <c r="B120" s="23"/>
      <c r="C120" s="24"/>
      <c r="D120" s="21" t="e">
        <f>_xlfn.XLOOKUP(TabelaDividendos[[#This Row],[ID]],Tabela1[[ID ]],Tabela1[Ativo])</f>
        <v>#N/A</v>
      </c>
      <c r="E120" s="21" t="e">
        <f>_xlfn.XLOOKUP(TabelaDividendos[[#This Row],[ID]],TabelaGeral[[ID ]],TabelaGeral[[ Tipo Ativo ]])</f>
        <v>#N/A</v>
      </c>
      <c r="F120" s="21" t="e">
        <f>_xlfn.XLOOKUP(TabelaDividendos[[#This Row],[ID]],TabelaGeral[[ID ]],TabelaGeral[[ Setor Segmento]])</f>
        <v>#N/A</v>
      </c>
      <c r="G120" s="32"/>
    </row>
    <row r="121" spans="2:7">
      <c r="B121" s="23"/>
      <c r="C121" s="24"/>
      <c r="D121" s="21" t="e">
        <f>_xlfn.XLOOKUP(TabelaDividendos[[#This Row],[ID]],Tabela1[[ID ]],Tabela1[Ativo])</f>
        <v>#N/A</v>
      </c>
      <c r="E121" s="21" t="e">
        <f>_xlfn.XLOOKUP(TabelaDividendos[[#This Row],[ID]],TabelaGeral[[ID ]],TabelaGeral[[ Tipo Ativo ]])</f>
        <v>#N/A</v>
      </c>
      <c r="F121" s="21" t="e">
        <f>_xlfn.XLOOKUP(TabelaDividendos[[#This Row],[ID]],TabelaGeral[[ID ]],TabelaGeral[[ Setor Segmento]])</f>
        <v>#N/A</v>
      </c>
      <c r="G121" s="32"/>
    </row>
    <row r="122" spans="2:7">
      <c r="B122" s="23"/>
      <c r="C122" s="24"/>
      <c r="D122" s="21" t="e">
        <f>_xlfn.XLOOKUP(TabelaDividendos[[#This Row],[ID]],Tabela1[[ID ]],Tabela1[Ativo])</f>
        <v>#N/A</v>
      </c>
      <c r="E122" s="21" t="e">
        <f>_xlfn.XLOOKUP(TabelaDividendos[[#This Row],[ID]],TabelaGeral[[ID ]],TabelaGeral[[ Tipo Ativo ]])</f>
        <v>#N/A</v>
      </c>
      <c r="F122" s="21" t="e">
        <f>_xlfn.XLOOKUP(TabelaDividendos[[#This Row],[ID]],TabelaGeral[[ID ]],TabelaGeral[[ Setor Segmento]])</f>
        <v>#N/A</v>
      </c>
      <c r="G122" s="32"/>
    </row>
    <row r="123" spans="2:7">
      <c r="B123" s="23"/>
      <c r="C123" s="24"/>
      <c r="D123" s="21" t="e">
        <f>_xlfn.XLOOKUP(TabelaDividendos[[#This Row],[ID]],Tabela1[[ID ]],Tabela1[Ativo])</f>
        <v>#N/A</v>
      </c>
      <c r="E123" s="21" t="e">
        <f>_xlfn.XLOOKUP(TabelaDividendos[[#This Row],[ID]],TabelaGeral[[ID ]],TabelaGeral[[ Tipo Ativo ]])</f>
        <v>#N/A</v>
      </c>
      <c r="F123" s="21" t="e">
        <f>_xlfn.XLOOKUP(TabelaDividendos[[#This Row],[ID]],TabelaGeral[[ID ]],TabelaGeral[[ Setor Segmento]])</f>
        <v>#N/A</v>
      </c>
      <c r="G123" s="32"/>
    </row>
    <row r="124" spans="2:7">
      <c r="B124" s="23"/>
      <c r="C124" s="24"/>
      <c r="D124" s="21" t="e">
        <f>_xlfn.XLOOKUP(TabelaDividendos[[#This Row],[ID]],Tabela1[[ID ]],Tabela1[Ativo])</f>
        <v>#N/A</v>
      </c>
      <c r="E124" s="21" t="e">
        <f>_xlfn.XLOOKUP(TabelaDividendos[[#This Row],[ID]],TabelaGeral[[ID ]],TabelaGeral[[ Tipo Ativo ]])</f>
        <v>#N/A</v>
      </c>
      <c r="F124" s="21" t="e">
        <f>_xlfn.XLOOKUP(TabelaDividendos[[#This Row],[ID]],TabelaGeral[[ID ]],TabelaGeral[[ Setor Segmento]])</f>
        <v>#N/A</v>
      </c>
      <c r="G124" s="32"/>
    </row>
    <row r="125" spans="2:7">
      <c r="B125" s="23"/>
      <c r="C125" s="24"/>
      <c r="D125" s="21" t="e">
        <f>_xlfn.XLOOKUP(TabelaDividendos[[#This Row],[ID]],Tabela1[[ID ]],Tabela1[Ativo])</f>
        <v>#N/A</v>
      </c>
      <c r="E125" s="21" t="e">
        <f>_xlfn.XLOOKUP(TabelaDividendos[[#This Row],[ID]],TabelaGeral[[ID ]],TabelaGeral[[ Tipo Ativo ]])</f>
        <v>#N/A</v>
      </c>
      <c r="F125" s="21" t="e">
        <f>_xlfn.XLOOKUP(TabelaDividendos[[#This Row],[ID]],TabelaGeral[[ID ]],TabelaGeral[[ Setor Segmento]])</f>
        <v>#N/A</v>
      </c>
      <c r="G125" s="32"/>
    </row>
    <row r="126" spans="2:7">
      <c r="B126" s="23"/>
      <c r="C126" s="24"/>
      <c r="D126" s="21" t="e">
        <f>_xlfn.XLOOKUP(TabelaDividendos[[#This Row],[ID]],Tabela1[[ID ]],Tabela1[Ativo])</f>
        <v>#N/A</v>
      </c>
      <c r="E126" s="21" t="e">
        <f>_xlfn.XLOOKUP(TabelaDividendos[[#This Row],[ID]],TabelaGeral[[ID ]],TabelaGeral[[ Tipo Ativo ]])</f>
        <v>#N/A</v>
      </c>
      <c r="F126" s="21" t="e">
        <f>_xlfn.XLOOKUP(TabelaDividendos[[#This Row],[ID]],TabelaGeral[[ID ]],TabelaGeral[[ Setor Segmento]])</f>
        <v>#N/A</v>
      </c>
      <c r="G126" s="32"/>
    </row>
    <row r="127" spans="2:7">
      <c r="B127" s="23"/>
      <c r="C127" s="24"/>
      <c r="D127" s="21" t="e">
        <f>_xlfn.XLOOKUP(TabelaDividendos[[#This Row],[ID]],Tabela1[[ID ]],Tabela1[Ativo])</f>
        <v>#N/A</v>
      </c>
      <c r="E127" s="21" t="e">
        <f>_xlfn.XLOOKUP(TabelaDividendos[[#This Row],[ID]],TabelaGeral[[ID ]],TabelaGeral[[ Tipo Ativo ]])</f>
        <v>#N/A</v>
      </c>
      <c r="F127" s="21" t="e">
        <f>_xlfn.XLOOKUP(TabelaDividendos[[#This Row],[ID]],TabelaGeral[[ID ]],TabelaGeral[[ Setor Segmento]])</f>
        <v>#N/A</v>
      </c>
      <c r="G127" s="32"/>
    </row>
    <row r="128" spans="2:7">
      <c r="B128" s="23"/>
      <c r="C128" s="24"/>
      <c r="D128" s="21" t="e">
        <f>_xlfn.XLOOKUP(TabelaDividendos[[#This Row],[ID]],Tabela1[[ID ]],Tabela1[Ativo])</f>
        <v>#N/A</v>
      </c>
      <c r="E128" s="21" t="e">
        <f>_xlfn.XLOOKUP(TabelaDividendos[[#This Row],[ID]],TabelaGeral[[ID ]],TabelaGeral[[ Tipo Ativo ]])</f>
        <v>#N/A</v>
      </c>
      <c r="F128" s="21" t="e">
        <f>_xlfn.XLOOKUP(TabelaDividendos[[#This Row],[ID]],TabelaGeral[[ID ]],TabelaGeral[[ Setor Segmento]])</f>
        <v>#N/A</v>
      </c>
      <c r="G128" s="32"/>
    </row>
    <row r="129" spans="2:7">
      <c r="B129" s="23"/>
      <c r="C129" s="24"/>
      <c r="D129" s="21" t="e">
        <f>_xlfn.XLOOKUP(TabelaDividendos[[#This Row],[ID]],Tabela1[[ID ]],Tabela1[Ativo])</f>
        <v>#N/A</v>
      </c>
      <c r="E129" s="21" t="e">
        <f>_xlfn.XLOOKUP(TabelaDividendos[[#This Row],[ID]],TabelaGeral[[ID ]],TabelaGeral[[ Tipo Ativo ]])</f>
        <v>#N/A</v>
      </c>
      <c r="F129" s="21" t="e">
        <f>_xlfn.XLOOKUP(TabelaDividendos[[#This Row],[ID]],TabelaGeral[[ID ]],TabelaGeral[[ Setor Segmento]])</f>
        <v>#N/A</v>
      </c>
      <c r="G129" s="32"/>
    </row>
    <row r="130" spans="2:7">
      <c r="B130" s="23"/>
      <c r="C130" s="24"/>
      <c r="D130" s="21" t="e">
        <f>_xlfn.XLOOKUP(TabelaDividendos[[#This Row],[ID]],Tabela1[[ID ]],Tabela1[Ativo])</f>
        <v>#N/A</v>
      </c>
      <c r="E130" s="21" t="e">
        <f>_xlfn.XLOOKUP(TabelaDividendos[[#This Row],[ID]],TabelaGeral[[ID ]],TabelaGeral[[ Tipo Ativo ]])</f>
        <v>#N/A</v>
      </c>
      <c r="F130" s="21" t="e">
        <f>_xlfn.XLOOKUP(TabelaDividendos[[#This Row],[ID]],TabelaGeral[[ID ]],TabelaGeral[[ Setor Segmento]])</f>
        <v>#N/A</v>
      </c>
      <c r="G130" s="32"/>
    </row>
    <row r="131" spans="2:7">
      <c r="B131" s="23"/>
      <c r="C131" s="24"/>
      <c r="D131" s="21" t="e">
        <f>_xlfn.XLOOKUP(TabelaDividendos[[#This Row],[ID]],Tabela1[[ID ]],Tabela1[Ativo])</f>
        <v>#N/A</v>
      </c>
      <c r="E131" s="21" t="e">
        <f>_xlfn.XLOOKUP(TabelaDividendos[[#This Row],[ID]],TabelaGeral[[ID ]],TabelaGeral[[ Tipo Ativo ]])</f>
        <v>#N/A</v>
      </c>
      <c r="F131" s="21" t="e">
        <f>_xlfn.XLOOKUP(TabelaDividendos[[#This Row],[ID]],TabelaGeral[[ID ]],TabelaGeral[[ Setor Segmento]])</f>
        <v>#N/A</v>
      </c>
      <c r="G131" s="32"/>
    </row>
    <row r="132" spans="2:7">
      <c r="B132" s="23"/>
      <c r="C132" s="24"/>
      <c r="D132" s="21" t="e">
        <f>_xlfn.XLOOKUP(TabelaDividendos[[#This Row],[ID]],Tabela1[[ID ]],Tabela1[Ativo])</f>
        <v>#N/A</v>
      </c>
      <c r="E132" s="21" t="e">
        <f>_xlfn.XLOOKUP(TabelaDividendos[[#This Row],[ID]],TabelaGeral[[ID ]],TabelaGeral[[ Tipo Ativo ]])</f>
        <v>#N/A</v>
      </c>
      <c r="F132" s="21" t="e">
        <f>_xlfn.XLOOKUP(TabelaDividendos[[#This Row],[ID]],TabelaGeral[[ID ]],TabelaGeral[[ Setor Segmento]])</f>
        <v>#N/A</v>
      </c>
      <c r="G132" s="32"/>
    </row>
    <row r="133" spans="2:7">
      <c r="B133" s="23"/>
      <c r="C133" s="24"/>
      <c r="D133" s="21" t="e">
        <f>_xlfn.XLOOKUP(TabelaDividendos[[#This Row],[ID]],Tabela1[[ID ]],Tabela1[Ativo])</f>
        <v>#N/A</v>
      </c>
      <c r="E133" s="21" t="e">
        <f>_xlfn.XLOOKUP(TabelaDividendos[[#This Row],[ID]],TabelaGeral[[ID ]],TabelaGeral[[ Tipo Ativo ]])</f>
        <v>#N/A</v>
      </c>
      <c r="F133" s="21" t="e">
        <f>_xlfn.XLOOKUP(TabelaDividendos[[#This Row],[ID]],TabelaGeral[[ID ]],TabelaGeral[[ Setor Segmento]])</f>
        <v>#N/A</v>
      </c>
      <c r="G133" s="32"/>
    </row>
    <row r="134" spans="2:7">
      <c r="B134" s="23"/>
      <c r="C134" s="24"/>
      <c r="D134" s="21" t="e">
        <f>_xlfn.XLOOKUP(TabelaDividendos[[#This Row],[ID]],Tabela1[[ID ]],Tabela1[Ativo])</f>
        <v>#N/A</v>
      </c>
      <c r="E134" s="21" t="e">
        <f>_xlfn.XLOOKUP(TabelaDividendos[[#This Row],[ID]],TabelaGeral[[ID ]],TabelaGeral[[ Tipo Ativo ]])</f>
        <v>#N/A</v>
      </c>
      <c r="F134" s="21" t="e">
        <f>_xlfn.XLOOKUP(TabelaDividendos[[#This Row],[ID]],TabelaGeral[[ID ]],TabelaGeral[[ Setor Segmento]])</f>
        <v>#N/A</v>
      </c>
      <c r="G134" s="32"/>
    </row>
    <row r="135" spans="2:7">
      <c r="B135" s="23"/>
      <c r="C135" s="24"/>
      <c r="D135" s="21" t="e">
        <f>_xlfn.XLOOKUP(TabelaDividendos[[#This Row],[ID]],Tabela1[[ID ]],Tabela1[Ativo])</f>
        <v>#N/A</v>
      </c>
      <c r="E135" s="21" t="e">
        <f>_xlfn.XLOOKUP(TabelaDividendos[[#This Row],[ID]],TabelaGeral[[ID ]],TabelaGeral[[ Tipo Ativo ]])</f>
        <v>#N/A</v>
      </c>
      <c r="F135" s="21" t="e">
        <f>_xlfn.XLOOKUP(TabelaDividendos[[#This Row],[ID]],TabelaGeral[[ID ]],TabelaGeral[[ Setor Segmento]])</f>
        <v>#N/A</v>
      </c>
      <c r="G135" s="32"/>
    </row>
    <row r="136" spans="2:7">
      <c r="B136" s="23"/>
      <c r="C136" s="24"/>
      <c r="D136" s="21" t="e">
        <f>_xlfn.XLOOKUP(TabelaDividendos[[#This Row],[ID]],Tabela1[[ID ]],Tabela1[Ativo])</f>
        <v>#N/A</v>
      </c>
      <c r="E136" s="21" t="e">
        <f>_xlfn.XLOOKUP(TabelaDividendos[[#This Row],[ID]],TabelaGeral[[ID ]],TabelaGeral[[ Tipo Ativo ]])</f>
        <v>#N/A</v>
      </c>
      <c r="F136" s="21" t="e">
        <f>_xlfn.XLOOKUP(TabelaDividendos[[#This Row],[ID]],TabelaGeral[[ID ]],TabelaGeral[[ Setor Segmento]])</f>
        <v>#N/A</v>
      </c>
      <c r="G136" s="32"/>
    </row>
    <row r="137" spans="2:7">
      <c r="B137" s="23"/>
      <c r="C137" s="24"/>
      <c r="D137" s="21" t="e">
        <f>_xlfn.XLOOKUP(TabelaDividendos[[#This Row],[ID]],Tabela1[[ID ]],Tabela1[Ativo])</f>
        <v>#N/A</v>
      </c>
      <c r="E137" s="21" t="e">
        <f>_xlfn.XLOOKUP(TabelaDividendos[[#This Row],[ID]],TabelaGeral[[ID ]],TabelaGeral[[ Tipo Ativo ]])</f>
        <v>#N/A</v>
      </c>
      <c r="F137" s="21" t="e">
        <f>_xlfn.XLOOKUP(TabelaDividendos[[#This Row],[ID]],TabelaGeral[[ID ]],TabelaGeral[[ Setor Segmento]])</f>
        <v>#N/A</v>
      </c>
      <c r="G137" s="32"/>
    </row>
    <row r="138" spans="2:7">
      <c r="B138" s="23"/>
      <c r="C138" s="24"/>
      <c r="D138" s="21" t="e">
        <f>_xlfn.XLOOKUP(TabelaDividendos[[#This Row],[ID]],Tabela1[[ID ]],Tabela1[Ativo])</f>
        <v>#N/A</v>
      </c>
      <c r="E138" s="21" t="e">
        <f>_xlfn.XLOOKUP(TabelaDividendos[[#This Row],[ID]],TabelaGeral[[ID ]],TabelaGeral[[ Tipo Ativo ]])</f>
        <v>#N/A</v>
      </c>
      <c r="F138" s="21" t="e">
        <f>_xlfn.XLOOKUP(TabelaDividendos[[#This Row],[ID]],TabelaGeral[[ID ]],TabelaGeral[[ Setor Segmento]])</f>
        <v>#N/A</v>
      </c>
      <c r="G138" s="32"/>
    </row>
    <row r="139" spans="2:7">
      <c r="B139" s="23"/>
      <c r="C139" s="24"/>
      <c r="D139" s="21" t="e">
        <f>_xlfn.XLOOKUP(TabelaDividendos[[#This Row],[ID]],Tabela1[[ID ]],Tabela1[Ativo])</f>
        <v>#N/A</v>
      </c>
      <c r="E139" s="21" t="e">
        <f>_xlfn.XLOOKUP(TabelaDividendos[[#This Row],[ID]],TabelaGeral[[ID ]],TabelaGeral[[ Tipo Ativo ]])</f>
        <v>#N/A</v>
      </c>
      <c r="F139" s="21" t="e">
        <f>_xlfn.XLOOKUP(TabelaDividendos[[#This Row],[ID]],TabelaGeral[[ID ]],TabelaGeral[[ Setor Segmento]])</f>
        <v>#N/A</v>
      </c>
      <c r="G139" s="32"/>
    </row>
    <row r="140" spans="2:7">
      <c r="B140" s="23"/>
      <c r="C140" s="24"/>
      <c r="D140" s="21" t="e">
        <f>_xlfn.XLOOKUP(TabelaDividendos[[#This Row],[ID]],Tabela1[[ID ]],Tabela1[Ativo])</f>
        <v>#N/A</v>
      </c>
      <c r="E140" s="21" t="e">
        <f>_xlfn.XLOOKUP(TabelaDividendos[[#This Row],[ID]],TabelaGeral[[ID ]],TabelaGeral[[ Tipo Ativo ]])</f>
        <v>#N/A</v>
      </c>
      <c r="F140" s="21" t="e">
        <f>_xlfn.XLOOKUP(TabelaDividendos[[#This Row],[ID]],TabelaGeral[[ID ]],TabelaGeral[[ Setor Segmento]])</f>
        <v>#N/A</v>
      </c>
      <c r="G140" s="32"/>
    </row>
    <row r="141" spans="2:7">
      <c r="B141" s="23"/>
      <c r="C141" s="24"/>
      <c r="D141" s="21" t="e">
        <f>_xlfn.XLOOKUP(TabelaDividendos[[#This Row],[ID]],Tabela1[[ID ]],Tabela1[Ativo])</f>
        <v>#N/A</v>
      </c>
      <c r="E141" s="21" t="e">
        <f>_xlfn.XLOOKUP(TabelaDividendos[[#This Row],[ID]],TabelaGeral[[ID ]],TabelaGeral[[ Tipo Ativo ]])</f>
        <v>#N/A</v>
      </c>
      <c r="F141" s="21" t="e">
        <f>_xlfn.XLOOKUP(TabelaDividendos[[#This Row],[ID]],TabelaGeral[[ID ]],TabelaGeral[[ Setor Segmento]])</f>
        <v>#N/A</v>
      </c>
      <c r="G141" s="32"/>
    </row>
    <row r="142" spans="2:7">
      <c r="B142" s="23"/>
      <c r="C142" s="24"/>
      <c r="D142" s="21" t="e">
        <f>_xlfn.XLOOKUP(TabelaDividendos[[#This Row],[ID]],Tabela1[[ID ]],Tabela1[Ativo])</f>
        <v>#N/A</v>
      </c>
      <c r="E142" s="21" t="e">
        <f>_xlfn.XLOOKUP(TabelaDividendos[[#This Row],[ID]],TabelaGeral[[ID ]],TabelaGeral[[ Tipo Ativo ]])</f>
        <v>#N/A</v>
      </c>
      <c r="F142" s="21" t="e">
        <f>_xlfn.XLOOKUP(TabelaDividendos[[#This Row],[ID]],TabelaGeral[[ID ]],TabelaGeral[[ Setor Segmento]])</f>
        <v>#N/A</v>
      </c>
      <c r="G142" s="32"/>
    </row>
    <row r="143" spans="2:7">
      <c r="B143" s="23"/>
      <c r="C143" s="24"/>
      <c r="D143" s="21" t="e">
        <f>_xlfn.XLOOKUP(TabelaDividendos[[#This Row],[ID]],Tabela1[[ID ]],Tabela1[Ativo])</f>
        <v>#N/A</v>
      </c>
      <c r="E143" s="21" t="e">
        <f>_xlfn.XLOOKUP(TabelaDividendos[[#This Row],[ID]],TabelaGeral[[ID ]],TabelaGeral[[ Tipo Ativo ]])</f>
        <v>#N/A</v>
      </c>
      <c r="F143" s="21" t="e">
        <f>_xlfn.XLOOKUP(TabelaDividendos[[#This Row],[ID]],TabelaGeral[[ID ]],TabelaGeral[[ Setor Segmento]])</f>
        <v>#N/A</v>
      </c>
      <c r="G143" s="32"/>
    </row>
    <row r="144" spans="2:7">
      <c r="B144" s="23"/>
      <c r="C144" s="24"/>
      <c r="D144" s="21" t="e">
        <f>_xlfn.XLOOKUP(TabelaDividendos[[#This Row],[ID]],Tabela1[[ID ]],Tabela1[Ativo])</f>
        <v>#N/A</v>
      </c>
      <c r="E144" s="21" t="e">
        <f>_xlfn.XLOOKUP(TabelaDividendos[[#This Row],[ID]],TabelaGeral[[ID ]],TabelaGeral[[ Tipo Ativo ]])</f>
        <v>#N/A</v>
      </c>
      <c r="F144" s="21" t="e">
        <f>_xlfn.XLOOKUP(TabelaDividendos[[#This Row],[ID]],TabelaGeral[[ID ]],TabelaGeral[[ Setor Segmento]])</f>
        <v>#N/A</v>
      </c>
      <c r="G144" s="32"/>
    </row>
    <row r="145" spans="2:7">
      <c r="B145" s="23"/>
      <c r="C145" s="24"/>
      <c r="D145" s="21" t="e">
        <f>_xlfn.XLOOKUP(TabelaDividendos[[#This Row],[ID]],Tabela1[[ID ]],Tabela1[Ativo])</f>
        <v>#N/A</v>
      </c>
      <c r="E145" s="21" t="e">
        <f>_xlfn.XLOOKUP(TabelaDividendos[[#This Row],[ID]],TabelaGeral[[ID ]],TabelaGeral[[ Tipo Ativo ]])</f>
        <v>#N/A</v>
      </c>
      <c r="F145" s="21" t="e">
        <f>_xlfn.XLOOKUP(TabelaDividendos[[#This Row],[ID]],TabelaGeral[[ID ]],TabelaGeral[[ Setor Segmento]])</f>
        <v>#N/A</v>
      </c>
      <c r="G145" s="32"/>
    </row>
    <row r="146" spans="2:7">
      <c r="B146" s="23"/>
      <c r="C146" s="24"/>
      <c r="D146" s="21" t="e">
        <f>_xlfn.XLOOKUP(TabelaDividendos[[#This Row],[ID]],Tabela1[[ID ]],Tabela1[Ativo])</f>
        <v>#N/A</v>
      </c>
      <c r="E146" s="21" t="e">
        <f>_xlfn.XLOOKUP(TabelaDividendos[[#This Row],[ID]],TabelaGeral[[ID ]],TabelaGeral[[ Tipo Ativo ]])</f>
        <v>#N/A</v>
      </c>
      <c r="F146" s="21" t="e">
        <f>_xlfn.XLOOKUP(TabelaDividendos[[#This Row],[ID]],TabelaGeral[[ID ]],TabelaGeral[[ Setor Segmento]])</f>
        <v>#N/A</v>
      </c>
      <c r="G146" s="32"/>
    </row>
    <row r="147" spans="2:7">
      <c r="B147" s="23"/>
      <c r="C147" s="24"/>
      <c r="D147" s="21" t="e">
        <f>_xlfn.XLOOKUP(TabelaDividendos[[#This Row],[ID]],Tabela1[[ID ]],Tabela1[Ativo])</f>
        <v>#N/A</v>
      </c>
      <c r="E147" s="21" t="e">
        <f>_xlfn.XLOOKUP(TabelaDividendos[[#This Row],[ID]],TabelaGeral[[ID ]],TabelaGeral[[ Tipo Ativo ]])</f>
        <v>#N/A</v>
      </c>
      <c r="F147" s="21" t="e">
        <f>_xlfn.XLOOKUP(TabelaDividendos[[#This Row],[ID]],TabelaGeral[[ID ]],TabelaGeral[[ Setor Segmento]])</f>
        <v>#N/A</v>
      </c>
      <c r="G147" s="32"/>
    </row>
    <row r="148" spans="2:7">
      <c r="B148" s="23"/>
      <c r="C148" s="24"/>
      <c r="D148" s="21" t="e">
        <f>_xlfn.XLOOKUP(TabelaDividendos[[#This Row],[ID]],Tabela1[[ID ]],Tabela1[Ativo])</f>
        <v>#N/A</v>
      </c>
      <c r="E148" s="21" t="e">
        <f>_xlfn.XLOOKUP(TabelaDividendos[[#This Row],[ID]],TabelaGeral[[ID ]],TabelaGeral[[ Tipo Ativo ]])</f>
        <v>#N/A</v>
      </c>
      <c r="F148" s="21" t="e">
        <f>_xlfn.XLOOKUP(TabelaDividendos[[#This Row],[ID]],TabelaGeral[[ID ]],TabelaGeral[[ Setor Segmento]])</f>
        <v>#N/A</v>
      </c>
      <c r="G148" s="32"/>
    </row>
    <row r="149" spans="2:7">
      <c r="B149" s="23"/>
      <c r="C149" s="24"/>
      <c r="D149" s="21" t="e">
        <f>_xlfn.XLOOKUP(TabelaDividendos[[#This Row],[ID]],Tabela1[[ID ]],Tabela1[Ativo])</f>
        <v>#N/A</v>
      </c>
      <c r="E149" s="21" t="e">
        <f>_xlfn.XLOOKUP(TabelaDividendos[[#This Row],[ID]],TabelaGeral[[ID ]],TabelaGeral[[ Tipo Ativo ]])</f>
        <v>#N/A</v>
      </c>
      <c r="F149" s="21" t="e">
        <f>_xlfn.XLOOKUP(TabelaDividendos[[#This Row],[ID]],TabelaGeral[[ID ]],TabelaGeral[[ Setor Segmento]])</f>
        <v>#N/A</v>
      </c>
      <c r="G149" s="32"/>
    </row>
    <row r="150" spans="2:7">
      <c r="B150" s="23"/>
      <c r="C150" s="24"/>
      <c r="D150" s="21" t="e">
        <f>_xlfn.XLOOKUP(TabelaDividendos[[#This Row],[ID]],Tabela1[[ID ]],Tabela1[Ativo])</f>
        <v>#N/A</v>
      </c>
      <c r="E150" s="21" t="e">
        <f>_xlfn.XLOOKUP(TabelaDividendos[[#This Row],[ID]],TabelaGeral[[ID ]],TabelaGeral[[ Tipo Ativo ]])</f>
        <v>#N/A</v>
      </c>
      <c r="F150" s="21" t="e">
        <f>_xlfn.XLOOKUP(TabelaDividendos[[#This Row],[ID]],TabelaGeral[[ID ]],TabelaGeral[[ Setor Segmento]])</f>
        <v>#N/A</v>
      </c>
      <c r="G150" s="32"/>
    </row>
    <row r="151" spans="2:7">
      <c r="B151" s="23"/>
      <c r="C151" s="24"/>
      <c r="D151" s="21" t="e">
        <f>_xlfn.XLOOKUP(TabelaDividendos[[#This Row],[ID]],Tabela1[[ID ]],Tabela1[Ativo])</f>
        <v>#N/A</v>
      </c>
      <c r="E151" s="21" t="e">
        <f>_xlfn.XLOOKUP(TabelaDividendos[[#This Row],[ID]],TabelaGeral[[ID ]],TabelaGeral[[ Tipo Ativo ]])</f>
        <v>#N/A</v>
      </c>
      <c r="F151" s="21" t="e">
        <f>_xlfn.XLOOKUP(TabelaDividendos[[#This Row],[ID]],TabelaGeral[[ID ]],TabelaGeral[[ Setor Segmento]])</f>
        <v>#N/A</v>
      </c>
      <c r="G151" s="32"/>
    </row>
    <row r="152" spans="2:7">
      <c r="B152" s="23"/>
      <c r="C152" s="24"/>
      <c r="D152" s="21" t="e">
        <f>_xlfn.XLOOKUP(TabelaDividendos[[#This Row],[ID]],Tabela1[[ID ]],Tabela1[Ativo])</f>
        <v>#N/A</v>
      </c>
      <c r="E152" s="21" t="e">
        <f>_xlfn.XLOOKUP(TabelaDividendos[[#This Row],[ID]],TabelaGeral[[ID ]],TabelaGeral[[ Tipo Ativo ]])</f>
        <v>#N/A</v>
      </c>
      <c r="F152" s="21" t="e">
        <f>_xlfn.XLOOKUP(TabelaDividendos[[#This Row],[ID]],TabelaGeral[[ID ]],TabelaGeral[[ Setor Segmento]])</f>
        <v>#N/A</v>
      </c>
      <c r="G152" s="32"/>
    </row>
    <row r="153" spans="2:7">
      <c r="B153" s="23"/>
      <c r="C153" s="24"/>
      <c r="D153" s="21" t="e">
        <f>_xlfn.XLOOKUP(TabelaDividendos[[#This Row],[ID]],Tabela1[[ID ]],Tabela1[Ativo])</f>
        <v>#N/A</v>
      </c>
      <c r="E153" s="21" t="e">
        <f>_xlfn.XLOOKUP(TabelaDividendos[[#This Row],[ID]],TabelaGeral[[ID ]],TabelaGeral[[ Tipo Ativo ]])</f>
        <v>#N/A</v>
      </c>
      <c r="F153" s="21" t="e">
        <f>_xlfn.XLOOKUP(TabelaDividendos[[#This Row],[ID]],TabelaGeral[[ID ]],TabelaGeral[[ Setor Segmento]])</f>
        <v>#N/A</v>
      </c>
      <c r="G153" s="32"/>
    </row>
    <row r="154" spans="2:7">
      <c r="B154" s="23"/>
      <c r="C154" s="24"/>
      <c r="D154" s="21" t="e">
        <f>_xlfn.XLOOKUP(TabelaDividendos[[#This Row],[ID]],Tabela1[[ID ]],Tabela1[Ativo])</f>
        <v>#N/A</v>
      </c>
      <c r="E154" s="21" t="e">
        <f>_xlfn.XLOOKUP(TabelaDividendos[[#This Row],[ID]],TabelaGeral[[ID ]],TabelaGeral[[ Tipo Ativo ]])</f>
        <v>#N/A</v>
      </c>
      <c r="F154" s="21" t="e">
        <f>_xlfn.XLOOKUP(TabelaDividendos[[#This Row],[ID]],TabelaGeral[[ID ]],TabelaGeral[[ Setor Segmento]])</f>
        <v>#N/A</v>
      </c>
      <c r="G154" s="32"/>
    </row>
    <row r="155" spans="2:7">
      <c r="B155" s="23"/>
      <c r="C155" s="24"/>
      <c r="D155" s="21" t="e">
        <f>_xlfn.XLOOKUP(TabelaDividendos[[#This Row],[ID]],Tabela1[[ID ]],Tabela1[Ativo])</f>
        <v>#N/A</v>
      </c>
      <c r="E155" s="21" t="e">
        <f>_xlfn.XLOOKUP(TabelaDividendos[[#This Row],[ID]],TabelaGeral[[ID ]],TabelaGeral[[ Tipo Ativo ]])</f>
        <v>#N/A</v>
      </c>
      <c r="F155" s="21" t="e">
        <f>_xlfn.XLOOKUP(TabelaDividendos[[#This Row],[ID]],TabelaGeral[[ID ]],TabelaGeral[[ Setor Segmento]])</f>
        <v>#N/A</v>
      </c>
      <c r="G155" s="32"/>
    </row>
    <row r="156" spans="2:7">
      <c r="B156" s="23"/>
      <c r="C156" s="24"/>
      <c r="D156" s="21" t="e">
        <f>_xlfn.XLOOKUP(TabelaDividendos[[#This Row],[ID]],Tabela1[[ID ]],Tabela1[Ativo])</f>
        <v>#N/A</v>
      </c>
      <c r="E156" s="21" t="e">
        <f>_xlfn.XLOOKUP(TabelaDividendos[[#This Row],[ID]],TabelaGeral[[ID ]],TabelaGeral[[ Tipo Ativo ]])</f>
        <v>#N/A</v>
      </c>
      <c r="F156" s="21" t="e">
        <f>_xlfn.XLOOKUP(TabelaDividendos[[#This Row],[ID]],TabelaGeral[[ID ]],TabelaGeral[[ Setor Segmento]])</f>
        <v>#N/A</v>
      </c>
      <c r="G156" s="32"/>
    </row>
    <row r="157" spans="2:7">
      <c r="B157" s="23"/>
      <c r="C157" s="24"/>
      <c r="D157" s="21" t="e">
        <f>_xlfn.XLOOKUP(TabelaDividendos[[#This Row],[ID]],Tabela1[[ID ]],Tabela1[Ativo])</f>
        <v>#N/A</v>
      </c>
      <c r="E157" s="21" t="e">
        <f>_xlfn.XLOOKUP(TabelaDividendos[[#This Row],[ID]],TabelaGeral[[ID ]],TabelaGeral[[ Tipo Ativo ]])</f>
        <v>#N/A</v>
      </c>
      <c r="F157" s="21" t="e">
        <f>_xlfn.XLOOKUP(TabelaDividendos[[#This Row],[ID]],TabelaGeral[[ID ]],TabelaGeral[[ Setor Segmento]])</f>
        <v>#N/A</v>
      </c>
      <c r="G157" s="32"/>
    </row>
    <row r="158" spans="2:7">
      <c r="B158" s="23"/>
      <c r="C158" s="24"/>
      <c r="D158" s="21" t="e">
        <f>_xlfn.XLOOKUP(TabelaDividendos[[#This Row],[ID]],Tabela1[[ID ]],Tabela1[Ativo])</f>
        <v>#N/A</v>
      </c>
      <c r="E158" s="21" t="e">
        <f>_xlfn.XLOOKUP(TabelaDividendos[[#This Row],[ID]],TabelaGeral[[ID ]],TabelaGeral[[ Tipo Ativo ]])</f>
        <v>#N/A</v>
      </c>
      <c r="F158" s="21" t="e">
        <f>_xlfn.XLOOKUP(TabelaDividendos[[#This Row],[ID]],TabelaGeral[[ID ]],TabelaGeral[[ Setor Segmento]])</f>
        <v>#N/A</v>
      </c>
      <c r="G158" s="32"/>
    </row>
    <row r="159" spans="2:7">
      <c r="B159" s="23"/>
      <c r="C159" s="24"/>
      <c r="D159" s="21" t="e">
        <f>_xlfn.XLOOKUP(TabelaDividendos[[#This Row],[ID]],Tabela1[[ID ]],Tabela1[Ativo])</f>
        <v>#N/A</v>
      </c>
      <c r="E159" s="21" t="e">
        <f>_xlfn.XLOOKUP(TabelaDividendos[[#This Row],[ID]],TabelaGeral[[ID ]],TabelaGeral[[ Tipo Ativo ]])</f>
        <v>#N/A</v>
      </c>
      <c r="F159" s="21" t="e">
        <f>_xlfn.XLOOKUP(TabelaDividendos[[#This Row],[ID]],TabelaGeral[[ID ]],TabelaGeral[[ Setor Segmento]])</f>
        <v>#N/A</v>
      </c>
      <c r="G159" s="32"/>
    </row>
    <row r="160" spans="2:7">
      <c r="B160" s="23"/>
      <c r="C160" s="24"/>
      <c r="D160" s="21" t="e">
        <f>_xlfn.XLOOKUP(TabelaDividendos[[#This Row],[ID]],Tabela1[[ID ]],Tabela1[Ativo])</f>
        <v>#N/A</v>
      </c>
      <c r="E160" s="21" t="e">
        <f>_xlfn.XLOOKUP(TabelaDividendos[[#This Row],[ID]],TabelaGeral[[ID ]],TabelaGeral[[ Tipo Ativo ]])</f>
        <v>#N/A</v>
      </c>
      <c r="F160" s="21" t="e">
        <f>_xlfn.XLOOKUP(TabelaDividendos[[#This Row],[ID]],TabelaGeral[[ID ]],TabelaGeral[[ Setor Segmento]])</f>
        <v>#N/A</v>
      </c>
      <c r="G160" s="32"/>
    </row>
    <row r="161" spans="2:7">
      <c r="B161" s="23"/>
      <c r="C161" s="24"/>
      <c r="D161" s="21" t="e">
        <f>_xlfn.XLOOKUP(TabelaDividendos[[#This Row],[ID]],Tabela1[[ID ]],Tabela1[Ativo])</f>
        <v>#N/A</v>
      </c>
      <c r="E161" s="21" t="e">
        <f>_xlfn.XLOOKUP(TabelaDividendos[[#This Row],[ID]],TabelaGeral[[ID ]],TabelaGeral[[ Tipo Ativo ]])</f>
        <v>#N/A</v>
      </c>
      <c r="F161" s="21" t="e">
        <f>_xlfn.XLOOKUP(TabelaDividendos[[#This Row],[ID]],TabelaGeral[[ID ]],TabelaGeral[[ Setor Segmento]])</f>
        <v>#N/A</v>
      </c>
      <c r="G161" s="32"/>
    </row>
    <row r="162" spans="2:7">
      <c r="B162" s="23"/>
      <c r="C162" s="24"/>
      <c r="D162" s="21" t="e">
        <f>_xlfn.XLOOKUP(TabelaDividendos[[#This Row],[ID]],Tabela1[[ID ]],Tabela1[Ativo])</f>
        <v>#N/A</v>
      </c>
      <c r="E162" s="21" t="e">
        <f>_xlfn.XLOOKUP(TabelaDividendos[[#This Row],[ID]],TabelaGeral[[ID ]],TabelaGeral[[ Tipo Ativo ]])</f>
        <v>#N/A</v>
      </c>
      <c r="F162" s="21" t="e">
        <f>_xlfn.XLOOKUP(TabelaDividendos[[#This Row],[ID]],TabelaGeral[[ID ]],TabelaGeral[[ Setor Segmento]])</f>
        <v>#N/A</v>
      </c>
      <c r="G162" s="32"/>
    </row>
    <row r="163" spans="2:7">
      <c r="B163" s="23"/>
      <c r="C163" s="24"/>
      <c r="D163" s="21" t="e">
        <f>_xlfn.XLOOKUP(TabelaDividendos[[#This Row],[ID]],Tabela1[[ID ]],Tabela1[Ativo])</f>
        <v>#N/A</v>
      </c>
      <c r="E163" s="21" t="e">
        <f>_xlfn.XLOOKUP(TabelaDividendos[[#This Row],[ID]],TabelaGeral[[ID ]],TabelaGeral[[ Tipo Ativo ]])</f>
        <v>#N/A</v>
      </c>
      <c r="F163" s="21" t="e">
        <f>_xlfn.XLOOKUP(TabelaDividendos[[#This Row],[ID]],TabelaGeral[[ID ]],TabelaGeral[[ Setor Segmento]])</f>
        <v>#N/A</v>
      </c>
      <c r="G163" s="32"/>
    </row>
    <row r="164" spans="2:7">
      <c r="B164" s="23"/>
      <c r="C164" s="24"/>
      <c r="D164" s="21" t="e">
        <f>_xlfn.XLOOKUP(TabelaDividendos[[#This Row],[ID]],Tabela1[[ID ]],Tabela1[Ativo])</f>
        <v>#N/A</v>
      </c>
      <c r="E164" s="21" t="e">
        <f>_xlfn.XLOOKUP(TabelaDividendos[[#This Row],[ID]],TabelaGeral[[ID ]],TabelaGeral[[ Tipo Ativo ]])</f>
        <v>#N/A</v>
      </c>
      <c r="F164" s="21" t="e">
        <f>_xlfn.XLOOKUP(TabelaDividendos[[#This Row],[ID]],TabelaGeral[[ID ]],TabelaGeral[[ Setor Segmento]])</f>
        <v>#N/A</v>
      </c>
      <c r="G164" s="32"/>
    </row>
    <row r="165" spans="2:7">
      <c r="B165" s="23"/>
      <c r="C165" s="24"/>
      <c r="D165" s="21" t="e">
        <f>_xlfn.XLOOKUP(TabelaDividendos[[#This Row],[ID]],Tabela1[[ID ]],Tabela1[Ativo])</f>
        <v>#N/A</v>
      </c>
      <c r="E165" s="21" t="e">
        <f>_xlfn.XLOOKUP(TabelaDividendos[[#This Row],[ID]],TabelaGeral[[ID ]],TabelaGeral[[ Tipo Ativo ]])</f>
        <v>#N/A</v>
      </c>
      <c r="F165" s="21" t="e">
        <f>_xlfn.XLOOKUP(TabelaDividendos[[#This Row],[ID]],TabelaGeral[[ID ]],TabelaGeral[[ Setor Segmento]])</f>
        <v>#N/A</v>
      </c>
      <c r="G165" s="32"/>
    </row>
    <row r="166" spans="2:7">
      <c r="B166" s="23"/>
      <c r="C166" s="24"/>
      <c r="D166" s="21" t="e">
        <f>_xlfn.XLOOKUP(TabelaDividendos[[#This Row],[ID]],Tabela1[[ID ]],Tabela1[Ativo])</f>
        <v>#N/A</v>
      </c>
      <c r="E166" s="21" t="e">
        <f>_xlfn.XLOOKUP(TabelaDividendos[[#This Row],[ID]],TabelaGeral[[ID ]],TabelaGeral[[ Tipo Ativo ]])</f>
        <v>#N/A</v>
      </c>
      <c r="F166" s="21" t="e">
        <f>_xlfn.XLOOKUP(TabelaDividendos[[#This Row],[ID]],TabelaGeral[[ID ]],TabelaGeral[[ Setor Segmento]])</f>
        <v>#N/A</v>
      </c>
      <c r="G166" s="32"/>
    </row>
    <row r="167" spans="2:7">
      <c r="B167" s="23"/>
      <c r="C167" s="24"/>
      <c r="D167" s="21" t="e">
        <f>_xlfn.XLOOKUP(TabelaDividendos[[#This Row],[ID]],Tabela1[[ID ]],Tabela1[Ativo])</f>
        <v>#N/A</v>
      </c>
      <c r="E167" s="21" t="e">
        <f>_xlfn.XLOOKUP(TabelaDividendos[[#This Row],[ID]],TabelaGeral[[ID ]],TabelaGeral[[ Tipo Ativo ]])</f>
        <v>#N/A</v>
      </c>
      <c r="F167" s="21" t="e">
        <f>_xlfn.XLOOKUP(TabelaDividendos[[#This Row],[ID]],TabelaGeral[[ID ]],TabelaGeral[[ Setor Segmento]])</f>
        <v>#N/A</v>
      </c>
      <c r="G167" s="32"/>
    </row>
    <row r="168" spans="2:7">
      <c r="B168" s="23"/>
      <c r="C168" s="24"/>
      <c r="D168" s="21" t="e">
        <f>_xlfn.XLOOKUP(TabelaDividendos[[#This Row],[ID]],Tabela1[[ID ]],Tabela1[Ativo])</f>
        <v>#N/A</v>
      </c>
      <c r="E168" s="21" t="e">
        <f>_xlfn.XLOOKUP(TabelaDividendos[[#This Row],[ID]],TabelaGeral[[ID ]],TabelaGeral[[ Tipo Ativo ]])</f>
        <v>#N/A</v>
      </c>
      <c r="F168" s="21" t="e">
        <f>_xlfn.XLOOKUP(TabelaDividendos[[#This Row],[ID]],TabelaGeral[[ID ]],TabelaGeral[[ Setor Segmento]])</f>
        <v>#N/A</v>
      </c>
      <c r="G168" s="32"/>
    </row>
    <row r="169" spans="2:7">
      <c r="B169" s="23"/>
      <c r="C169" s="24"/>
      <c r="D169" s="21" t="e">
        <f>_xlfn.XLOOKUP(TabelaDividendos[[#This Row],[ID]],Tabela1[[ID ]],Tabela1[Ativo])</f>
        <v>#N/A</v>
      </c>
      <c r="E169" s="21" t="e">
        <f>_xlfn.XLOOKUP(TabelaDividendos[[#This Row],[ID]],TabelaGeral[[ID ]],TabelaGeral[[ Tipo Ativo ]])</f>
        <v>#N/A</v>
      </c>
      <c r="F169" s="21" t="e">
        <f>_xlfn.XLOOKUP(TabelaDividendos[[#This Row],[ID]],TabelaGeral[[ID ]],TabelaGeral[[ Setor Segmento]])</f>
        <v>#N/A</v>
      </c>
      <c r="G169" s="32"/>
    </row>
    <row r="170" spans="2:7">
      <c r="B170" s="23"/>
      <c r="C170" s="24"/>
      <c r="D170" s="21" t="e">
        <f>_xlfn.XLOOKUP(TabelaDividendos[[#This Row],[ID]],Tabela1[[ID ]],Tabela1[Ativo])</f>
        <v>#N/A</v>
      </c>
      <c r="E170" s="21" t="e">
        <f>_xlfn.XLOOKUP(TabelaDividendos[[#This Row],[ID]],TabelaGeral[[ID ]],TabelaGeral[[ Tipo Ativo ]])</f>
        <v>#N/A</v>
      </c>
      <c r="F170" s="21" t="e">
        <f>_xlfn.XLOOKUP(TabelaDividendos[[#This Row],[ID]],TabelaGeral[[ID ]],TabelaGeral[[ Setor Segmento]])</f>
        <v>#N/A</v>
      </c>
      <c r="G170" s="32"/>
    </row>
    <row r="171" spans="2:7">
      <c r="B171" s="23"/>
      <c r="C171" s="24"/>
      <c r="D171" s="21" t="e">
        <f>_xlfn.XLOOKUP(TabelaDividendos[[#This Row],[ID]],Tabela1[[ID ]],Tabela1[Ativo])</f>
        <v>#N/A</v>
      </c>
      <c r="E171" s="21" t="e">
        <f>_xlfn.XLOOKUP(TabelaDividendos[[#This Row],[ID]],TabelaGeral[[ID ]],TabelaGeral[[ Tipo Ativo ]])</f>
        <v>#N/A</v>
      </c>
      <c r="F171" s="21" t="e">
        <f>_xlfn.XLOOKUP(TabelaDividendos[[#This Row],[ID]],TabelaGeral[[ID ]],TabelaGeral[[ Setor Segmento]])</f>
        <v>#N/A</v>
      </c>
      <c r="G171" s="32"/>
    </row>
    <row r="172" spans="2:7">
      <c r="B172" s="23"/>
      <c r="C172" s="24"/>
      <c r="D172" s="21" t="e">
        <f>_xlfn.XLOOKUP(TabelaDividendos[[#This Row],[ID]],Tabela1[[ID ]],Tabela1[Ativo])</f>
        <v>#N/A</v>
      </c>
      <c r="E172" s="21" t="e">
        <f>_xlfn.XLOOKUP(TabelaDividendos[[#This Row],[ID]],TabelaGeral[[ID ]],TabelaGeral[[ Tipo Ativo ]])</f>
        <v>#N/A</v>
      </c>
      <c r="F172" s="21" t="e">
        <f>_xlfn.XLOOKUP(TabelaDividendos[[#This Row],[ID]],TabelaGeral[[ID ]],TabelaGeral[[ Setor Segmento]])</f>
        <v>#N/A</v>
      </c>
      <c r="G172" s="32"/>
    </row>
    <row r="173" spans="2:7">
      <c r="B173" s="23"/>
      <c r="C173" s="24"/>
      <c r="D173" s="21" t="e">
        <f>_xlfn.XLOOKUP(TabelaDividendos[[#This Row],[ID]],Tabela1[[ID ]],Tabela1[Ativo])</f>
        <v>#N/A</v>
      </c>
      <c r="E173" s="21" t="e">
        <f>_xlfn.XLOOKUP(TabelaDividendos[[#This Row],[ID]],TabelaGeral[[ID ]],TabelaGeral[[ Tipo Ativo ]])</f>
        <v>#N/A</v>
      </c>
      <c r="F173" s="21" t="e">
        <f>_xlfn.XLOOKUP(TabelaDividendos[[#This Row],[ID]],TabelaGeral[[ID ]],TabelaGeral[[ Setor Segmento]])</f>
        <v>#N/A</v>
      </c>
      <c r="G173" s="32"/>
    </row>
    <row r="174" spans="2:7">
      <c r="B174" s="23"/>
      <c r="C174" s="24"/>
      <c r="D174" s="21" t="e">
        <f>_xlfn.XLOOKUP(TabelaDividendos[[#This Row],[ID]],Tabela1[[ID ]],Tabela1[Ativo])</f>
        <v>#N/A</v>
      </c>
      <c r="E174" s="21" t="e">
        <f>_xlfn.XLOOKUP(TabelaDividendos[[#This Row],[ID]],TabelaGeral[[ID ]],TabelaGeral[[ Tipo Ativo ]])</f>
        <v>#N/A</v>
      </c>
      <c r="F174" s="21" t="e">
        <f>_xlfn.XLOOKUP(TabelaDividendos[[#This Row],[ID]],TabelaGeral[[ID ]],TabelaGeral[[ Setor Segmento]])</f>
        <v>#N/A</v>
      </c>
      <c r="G174" s="32"/>
    </row>
    <row r="175" spans="2:7">
      <c r="B175" s="23"/>
      <c r="C175" s="24"/>
      <c r="D175" s="21" t="e">
        <f>_xlfn.XLOOKUP(TabelaDividendos[[#This Row],[ID]],Tabela1[[ID ]],Tabela1[Ativo])</f>
        <v>#N/A</v>
      </c>
      <c r="E175" s="21" t="e">
        <f>_xlfn.XLOOKUP(TabelaDividendos[[#This Row],[ID]],TabelaGeral[[ID ]],TabelaGeral[[ Tipo Ativo ]])</f>
        <v>#N/A</v>
      </c>
      <c r="F175" s="21" t="e">
        <f>_xlfn.XLOOKUP(TabelaDividendos[[#This Row],[ID]],TabelaGeral[[ID ]],TabelaGeral[[ Setor Segmento]])</f>
        <v>#N/A</v>
      </c>
      <c r="G175" s="32"/>
    </row>
    <row r="176" spans="2:7">
      <c r="B176" s="23"/>
      <c r="C176" s="24"/>
      <c r="D176" s="21" t="e">
        <f>_xlfn.XLOOKUP(TabelaDividendos[[#This Row],[ID]],Tabela1[[ID ]],Tabela1[Ativo])</f>
        <v>#N/A</v>
      </c>
      <c r="E176" s="21" t="e">
        <f>_xlfn.XLOOKUP(TabelaDividendos[[#This Row],[ID]],TabelaGeral[[ID ]],TabelaGeral[[ Tipo Ativo ]])</f>
        <v>#N/A</v>
      </c>
      <c r="F176" s="21" t="e">
        <f>_xlfn.XLOOKUP(TabelaDividendos[[#This Row],[ID]],TabelaGeral[[ID ]],TabelaGeral[[ Setor Segmento]])</f>
        <v>#N/A</v>
      </c>
      <c r="G176" s="32"/>
    </row>
    <row r="177" spans="2:7">
      <c r="B177" s="23"/>
      <c r="C177" s="24"/>
      <c r="D177" s="21" t="e">
        <f>_xlfn.XLOOKUP(TabelaDividendos[[#This Row],[ID]],Tabela1[[ID ]],Tabela1[Ativo])</f>
        <v>#N/A</v>
      </c>
      <c r="E177" s="21" t="e">
        <f>_xlfn.XLOOKUP(TabelaDividendos[[#This Row],[ID]],TabelaGeral[[ID ]],TabelaGeral[[ Tipo Ativo ]])</f>
        <v>#N/A</v>
      </c>
      <c r="F177" s="21" t="e">
        <f>_xlfn.XLOOKUP(TabelaDividendos[[#This Row],[ID]],TabelaGeral[[ID ]],TabelaGeral[[ Setor Segmento]])</f>
        <v>#N/A</v>
      </c>
      <c r="G177" s="32"/>
    </row>
    <row r="178" spans="2:7">
      <c r="B178" s="23"/>
      <c r="C178" s="24"/>
      <c r="D178" s="21" t="e">
        <f>_xlfn.XLOOKUP(TabelaDividendos[[#This Row],[ID]],Tabela1[[ID ]],Tabela1[Ativo])</f>
        <v>#N/A</v>
      </c>
      <c r="E178" s="21" t="e">
        <f>_xlfn.XLOOKUP(TabelaDividendos[[#This Row],[ID]],TabelaGeral[[ID ]],TabelaGeral[[ Tipo Ativo ]])</f>
        <v>#N/A</v>
      </c>
      <c r="F178" s="21" t="e">
        <f>_xlfn.XLOOKUP(TabelaDividendos[[#This Row],[ID]],TabelaGeral[[ID ]],TabelaGeral[[ Setor Segmento]])</f>
        <v>#N/A</v>
      </c>
      <c r="G178" s="32"/>
    </row>
    <row r="179" spans="2:7">
      <c r="B179" s="23"/>
      <c r="C179" s="24"/>
      <c r="D179" s="21" t="e">
        <f>_xlfn.XLOOKUP(TabelaDividendos[[#This Row],[ID]],Tabela1[[ID ]],Tabela1[Ativo])</f>
        <v>#N/A</v>
      </c>
      <c r="E179" s="21" t="e">
        <f>_xlfn.XLOOKUP(TabelaDividendos[[#This Row],[ID]],TabelaGeral[[ID ]],TabelaGeral[[ Tipo Ativo ]])</f>
        <v>#N/A</v>
      </c>
      <c r="F179" s="21" t="e">
        <f>_xlfn.XLOOKUP(TabelaDividendos[[#This Row],[ID]],TabelaGeral[[ID ]],TabelaGeral[[ Setor Segmento]])</f>
        <v>#N/A</v>
      </c>
      <c r="G179" s="32"/>
    </row>
    <row r="180" spans="2:7">
      <c r="B180" s="23"/>
      <c r="C180" s="24"/>
      <c r="D180" s="21" t="e">
        <f>_xlfn.XLOOKUP(TabelaDividendos[[#This Row],[ID]],Tabela1[[ID ]],Tabela1[Ativo])</f>
        <v>#N/A</v>
      </c>
      <c r="E180" s="21" t="e">
        <f>_xlfn.XLOOKUP(TabelaDividendos[[#This Row],[ID]],TabelaGeral[[ID ]],TabelaGeral[[ Tipo Ativo ]])</f>
        <v>#N/A</v>
      </c>
      <c r="F180" s="21" t="e">
        <f>_xlfn.XLOOKUP(TabelaDividendos[[#This Row],[ID]],TabelaGeral[[ID ]],TabelaGeral[[ Setor Segmento]])</f>
        <v>#N/A</v>
      </c>
      <c r="G180" s="32"/>
    </row>
    <row r="181" spans="2:7">
      <c r="B181" s="23"/>
      <c r="C181" s="24"/>
      <c r="D181" s="21" t="e">
        <f>_xlfn.XLOOKUP(TabelaDividendos[[#This Row],[ID]],Tabela1[[ID ]],Tabela1[Ativo])</f>
        <v>#N/A</v>
      </c>
      <c r="E181" s="21" t="e">
        <f>_xlfn.XLOOKUP(TabelaDividendos[[#This Row],[ID]],TabelaGeral[[ID ]],TabelaGeral[[ Tipo Ativo ]])</f>
        <v>#N/A</v>
      </c>
      <c r="F181" s="21" t="e">
        <f>_xlfn.XLOOKUP(TabelaDividendos[[#This Row],[ID]],TabelaGeral[[ID ]],TabelaGeral[[ Setor Segmento]])</f>
        <v>#N/A</v>
      </c>
      <c r="G181" s="32"/>
    </row>
    <row r="182" spans="2:7">
      <c r="B182" s="23"/>
      <c r="C182" s="24"/>
      <c r="D182" s="21" t="e">
        <f>_xlfn.XLOOKUP(TabelaDividendos[[#This Row],[ID]],Tabela1[[ID ]],Tabela1[Ativo])</f>
        <v>#N/A</v>
      </c>
      <c r="E182" s="21" t="e">
        <f>_xlfn.XLOOKUP(TabelaDividendos[[#This Row],[ID]],TabelaGeral[[ID ]],TabelaGeral[[ Tipo Ativo ]])</f>
        <v>#N/A</v>
      </c>
      <c r="F182" s="21" t="e">
        <f>_xlfn.XLOOKUP(TabelaDividendos[[#This Row],[ID]],TabelaGeral[[ID ]],TabelaGeral[[ Setor Segmento]])</f>
        <v>#N/A</v>
      </c>
      <c r="G182" s="32"/>
    </row>
    <row r="183" spans="2:7">
      <c r="B183" s="23"/>
      <c r="C183" s="24"/>
      <c r="D183" s="21" t="e">
        <f>_xlfn.XLOOKUP(TabelaDividendos[[#This Row],[ID]],Tabela1[[ID ]],Tabela1[Ativo])</f>
        <v>#N/A</v>
      </c>
      <c r="E183" s="21" t="e">
        <f>_xlfn.XLOOKUP(TabelaDividendos[[#This Row],[ID]],TabelaGeral[[ID ]],TabelaGeral[[ Tipo Ativo ]])</f>
        <v>#N/A</v>
      </c>
      <c r="F183" s="21" t="e">
        <f>_xlfn.XLOOKUP(TabelaDividendos[[#This Row],[ID]],TabelaGeral[[ID ]],TabelaGeral[[ Setor Segmento]])</f>
        <v>#N/A</v>
      </c>
      <c r="G183" s="32"/>
    </row>
    <row r="184" spans="2:7">
      <c r="B184" s="23"/>
      <c r="C184" s="24"/>
      <c r="D184" s="21" t="e">
        <f>_xlfn.XLOOKUP(TabelaDividendos[[#This Row],[ID]],Tabela1[[ID ]],Tabela1[Ativo])</f>
        <v>#N/A</v>
      </c>
      <c r="E184" s="21" t="e">
        <f>_xlfn.XLOOKUP(TabelaDividendos[[#This Row],[ID]],TabelaGeral[[ID ]],TabelaGeral[[ Tipo Ativo ]])</f>
        <v>#N/A</v>
      </c>
      <c r="F184" s="21" t="e">
        <f>_xlfn.XLOOKUP(TabelaDividendos[[#This Row],[ID]],TabelaGeral[[ID ]],TabelaGeral[[ Setor Segmento]])</f>
        <v>#N/A</v>
      </c>
      <c r="G184" s="32"/>
    </row>
    <row r="185" spans="2:7">
      <c r="B185" s="23"/>
      <c r="C185" s="24"/>
      <c r="D185" s="21" t="e">
        <f>_xlfn.XLOOKUP(TabelaDividendos[[#This Row],[ID]],Tabela1[[ID ]],Tabela1[Ativo])</f>
        <v>#N/A</v>
      </c>
      <c r="E185" s="21" t="e">
        <f>_xlfn.XLOOKUP(TabelaDividendos[[#This Row],[ID]],TabelaGeral[[ID ]],TabelaGeral[[ Tipo Ativo ]])</f>
        <v>#N/A</v>
      </c>
      <c r="F185" s="21" t="e">
        <f>_xlfn.XLOOKUP(TabelaDividendos[[#This Row],[ID]],TabelaGeral[[ID ]],TabelaGeral[[ Setor Segmento]])</f>
        <v>#N/A</v>
      </c>
      <c r="G185" s="32"/>
    </row>
    <row r="186" spans="2:7">
      <c r="B186" s="23"/>
      <c r="C186" s="24"/>
      <c r="D186" s="21" t="e">
        <f>_xlfn.XLOOKUP(TabelaDividendos[[#This Row],[ID]],Tabela1[[ID ]],Tabela1[Ativo])</f>
        <v>#N/A</v>
      </c>
      <c r="E186" s="21" t="e">
        <f>_xlfn.XLOOKUP(TabelaDividendos[[#This Row],[ID]],TabelaGeral[[ID ]],TabelaGeral[[ Tipo Ativo ]])</f>
        <v>#N/A</v>
      </c>
      <c r="F186" s="21" t="e">
        <f>_xlfn.XLOOKUP(TabelaDividendos[[#This Row],[ID]],TabelaGeral[[ID ]],TabelaGeral[[ Setor Segmento]])</f>
        <v>#N/A</v>
      </c>
      <c r="G186" s="32"/>
    </row>
    <row r="187" spans="2:7">
      <c r="B187" s="23"/>
      <c r="C187" s="24"/>
      <c r="D187" s="21" t="e">
        <f>_xlfn.XLOOKUP(TabelaDividendos[[#This Row],[ID]],Tabela1[[ID ]],Tabela1[Ativo])</f>
        <v>#N/A</v>
      </c>
      <c r="E187" s="21" t="e">
        <f>_xlfn.XLOOKUP(TabelaDividendos[[#This Row],[ID]],TabelaGeral[[ID ]],TabelaGeral[[ Tipo Ativo ]])</f>
        <v>#N/A</v>
      </c>
      <c r="F187" s="21" t="e">
        <f>_xlfn.XLOOKUP(TabelaDividendos[[#This Row],[ID]],TabelaGeral[[ID ]],TabelaGeral[[ Setor Segmento]])</f>
        <v>#N/A</v>
      </c>
      <c r="G187" s="32"/>
    </row>
    <row r="188" spans="2:7">
      <c r="B188" s="23"/>
      <c r="C188" s="24"/>
      <c r="D188" s="21" t="e">
        <f>_xlfn.XLOOKUP(TabelaDividendos[[#This Row],[ID]],Tabela1[[ID ]],Tabela1[Ativo])</f>
        <v>#N/A</v>
      </c>
      <c r="E188" s="21" t="e">
        <f>_xlfn.XLOOKUP(TabelaDividendos[[#This Row],[ID]],TabelaGeral[[ID ]],TabelaGeral[[ Tipo Ativo ]])</f>
        <v>#N/A</v>
      </c>
      <c r="F188" s="21" t="e">
        <f>_xlfn.XLOOKUP(TabelaDividendos[[#This Row],[ID]],TabelaGeral[[ID ]],TabelaGeral[[ Setor Segmento]])</f>
        <v>#N/A</v>
      </c>
      <c r="G188" s="32"/>
    </row>
    <row r="189" spans="2:7">
      <c r="B189" s="23"/>
      <c r="C189" s="24"/>
      <c r="D189" s="21" t="e">
        <f>_xlfn.XLOOKUP(TabelaDividendos[[#This Row],[ID]],Tabela1[[ID ]],Tabela1[Ativo])</f>
        <v>#N/A</v>
      </c>
      <c r="E189" s="21" t="e">
        <f>_xlfn.XLOOKUP(TabelaDividendos[[#This Row],[ID]],TabelaGeral[[ID ]],TabelaGeral[[ Tipo Ativo ]])</f>
        <v>#N/A</v>
      </c>
      <c r="F189" s="21" t="e">
        <f>_xlfn.XLOOKUP(TabelaDividendos[[#This Row],[ID]],TabelaGeral[[ID ]],TabelaGeral[[ Setor Segmento]])</f>
        <v>#N/A</v>
      </c>
      <c r="G189" s="32"/>
    </row>
    <row r="190" spans="2:7">
      <c r="B190" s="23"/>
      <c r="C190" s="24"/>
      <c r="D190" s="21" t="e">
        <f>_xlfn.XLOOKUP(TabelaDividendos[[#This Row],[ID]],Tabela1[[ID ]],Tabela1[Ativo])</f>
        <v>#N/A</v>
      </c>
      <c r="E190" s="21" t="e">
        <f>_xlfn.XLOOKUP(TabelaDividendos[[#This Row],[ID]],TabelaGeral[[ID ]],TabelaGeral[[ Tipo Ativo ]])</f>
        <v>#N/A</v>
      </c>
      <c r="F190" s="21" t="e">
        <f>_xlfn.XLOOKUP(TabelaDividendos[[#This Row],[ID]],TabelaGeral[[ID ]],TabelaGeral[[ Setor Segmento]])</f>
        <v>#N/A</v>
      </c>
      <c r="G190" s="32"/>
    </row>
    <row r="191" spans="2:7">
      <c r="B191" s="23"/>
      <c r="C191" s="24"/>
      <c r="D191" s="21" t="e">
        <f>_xlfn.XLOOKUP(TabelaDividendos[[#This Row],[ID]],Tabela1[[ID ]],Tabela1[Ativo])</f>
        <v>#N/A</v>
      </c>
      <c r="E191" s="21" t="e">
        <f>_xlfn.XLOOKUP(TabelaDividendos[[#This Row],[ID]],TabelaGeral[[ID ]],TabelaGeral[[ Tipo Ativo ]])</f>
        <v>#N/A</v>
      </c>
      <c r="F191" s="21" t="e">
        <f>_xlfn.XLOOKUP(TabelaDividendos[[#This Row],[ID]],TabelaGeral[[ID ]],TabelaGeral[[ Setor Segmento]])</f>
        <v>#N/A</v>
      </c>
      <c r="G191" s="32"/>
    </row>
    <row r="192" spans="2:7">
      <c r="B192" s="23"/>
      <c r="C192" s="24"/>
      <c r="D192" s="21" t="e">
        <f>_xlfn.XLOOKUP(TabelaDividendos[[#This Row],[ID]],Tabela1[[ID ]],Tabela1[Ativo])</f>
        <v>#N/A</v>
      </c>
      <c r="E192" s="21" t="e">
        <f>_xlfn.XLOOKUP(TabelaDividendos[[#This Row],[ID]],TabelaGeral[[ID ]],TabelaGeral[[ Tipo Ativo ]])</f>
        <v>#N/A</v>
      </c>
      <c r="F192" s="21" t="e">
        <f>_xlfn.XLOOKUP(TabelaDividendos[[#This Row],[ID]],TabelaGeral[[ID ]],TabelaGeral[[ Setor Segmento]])</f>
        <v>#N/A</v>
      </c>
      <c r="G192" s="32"/>
    </row>
    <row r="193" spans="2:7">
      <c r="B193" s="23"/>
      <c r="C193" s="24"/>
      <c r="D193" s="21" t="e">
        <f>_xlfn.XLOOKUP(TabelaDividendos[[#This Row],[ID]],Tabela1[[ID ]],Tabela1[Ativo])</f>
        <v>#N/A</v>
      </c>
      <c r="E193" s="21" t="e">
        <f>_xlfn.XLOOKUP(TabelaDividendos[[#This Row],[ID]],TabelaGeral[[ID ]],TabelaGeral[[ Tipo Ativo ]])</f>
        <v>#N/A</v>
      </c>
      <c r="F193" s="21" t="e">
        <f>_xlfn.XLOOKUP(TabelaDividendos[[#This Row],[ID]],TabelaGeral[[ID ]],TabelaGeral[[ Setor Segmento]])</f>
        <v>#N/A</v>
      </c>
      <c r="G193" s="32"/>
    </row>
    <row r="194" spans="2:7">
      <c r="B194" s="23"/>
      <c r="C194" s="24"/>
      <c r="D194" s="21" t="e">
        <f>_xlfn.XLOOKUP(TabelaDividendos[[#This Row],[ID]],Tabela1[[ID ]],Tabela1[Ativo])</f>
        <v>#N/A</v>
      </c>
      <c r="E194" s="21" t="e">
        <f>_xlfn.XLOOKUP(TabelaDividendos[[#This Row],[ID]],TabelaGeral[[ID ]],TabelaGeral[[ Tipo Ativo ]])</f>
        <v>#N/A</v>
      </c>
      <c r="F194" s="21" t="e">
        <f>_xlfn.XLOOKUP(TabelaDividendos[[#This Row],[ID]],TabelaGeral[[ID ]],TabelaGeral[[ Setor Segmento]])</f>
        <v>#N/A</v>
      </c>
      <c r="G194" s="32"/>
    </row>
    <row r="195" spans="2:7">
      <c r="B195" s="23"/>
      <c r="C195" s="24"/>
      <c r="D195" s="21" t="e">
        <f>_xlfn.XLOOKUP(TabelaDividendos[[#This Row],[ID]],Tabela1[[ID ]],Tabela1[Ativo])</f>
        <v>#N/A</v>
      </c>
      <c r="E195" s="21" t="e">
        <f>_xlfn.XLOOKUP(TabelaDividendos[[#This Row],[ID]],TabelaGeral[[ID ]],TabelaGeral[[ Tipo Ativo ]])</f>
        <v>#N/A</v>
      </c>
      <c r="F195" s="21" t="e">
        <f>_xlfn.XLOOKUP(TabelaDividendos[[#This Row],[ID]],TabelaGeral[[ID ]],TabelaGeral[[ Setor Segmento]])</f>
        <v>#N/A</v>
      </c>
      <c r="G195" s="32"/>
    </row>
    <row r="196" spans="2:7">
      <c r="B196" s="23"/>
      <c r="C196" s="24"/>
      <c r="D196" s="21" t="e">
        <f>_xlfn.XLOOKUP(TabelaDividendos[[#This Row],[ID]],Tabela1[[ID ]],Tabela1[Ativo])</f>
        <v>#N/A</v>
      </c>
      <c r="E196" s="21" t="e">
        <f>_xlfn.XLOOKUP(TabelaDividendos[[#This Row],[ID]],TabelaGeral[[ID ]],TabelaGeral[[ Tipo Ativo ]])</f>
        <v>#N/A</v>
      </c>
      <c r="F196" s="21" t="e">
        <f>_xlfn.XLOOKUP(TabelaDividendos[[#This Row],[ID]],TabelaGeral[[ID ]],TabelaGeral[[ Setor Segmento]])</f>
        <v>#N/A</v>
      </c>
      <c r="G196" s="32"/>
    </row>
    <row r="197" spans="2:7">
      <c r="B197" s="23"/>
      <c r="C197" s="24"/>
      <c r="D197" s="21" t="e">
        <f>_xlfn.XLOOKUP(TabelaDividendos[[#This Row],[ID]],Tabela1[[ID ]],Tabela1[Ativo])</f>
        <v>#N/A</v>
      </c>
      <c r="E197" s="21" t="e">
        <f>_xlfn.XLOOKUP(TabelaDividendos[[#This Row],[ID]],TabelaGeral[[ID ]],TabelaGeral[[ Tipo Ativo ]])</f>
        <v>#N/A</v>
      </c>
      <c r="F197" s="21" t="e">
        <f>_xlfn.XLOOKUP(TabelaDividendos[[#This Row],[ID]],TabelaGeral[[ID ]],TabelaGeral[[ Setor Segmento]])</f>
        <v>#N/A</v>
      </c>
      <c r="G197" s="32"/>
    </row>
    <row r="198" spans="2:7">
      <c r="B198" s="23"/>
      <c r="C198" s="24"/>
      <c r="D198" s="21" t="e">
        <f>_xlfn.XLOOKUP(TabelaDividendos[[#This Row],[ID]],Tabela1[[ID ]],Tabela1[Ativo])</f>
        <v>#N/A</v>
      </c>
      <c r="E198" s="21" t="e">
        <f>_xlfn.XLOOKUP(TabelaDividendos[[#This Row],[ID]],TabelaGeral[[ID ]],TabelaGeral[[ Tipo Ativo ]])</f>
        <v>#N/A</v>
      </c>
      <c r="F198" s="21" t="e">
        <f>_xlfn.XLOOKUP(TabelaDividendos[[#This Row],[ID]],TabelaGeral[[ID ]],TabelaGeral[[ Setor Segmento]])</f>
        <v>#N/A</v>
      </c>
      <c r="G198" s="32"/>
    </row>
    <row r="199" spans="2:7">
      <c r="B199" s="23"/>
      <c r="C199" s="24"/>
      <c r="D199" s="21" t="e">
        <f>_xlfn.XLOOKUP(TabelaDividendos[[#This Row],[ID]],Tabela1[[ID ]],Tabela1[Ativo])</f>
        <v>#N/A</v>
      </c>
      <c r="E199" s="21" t="e">
        <f>_xlfn.XLOOKUP(TabelaDividendos[[#This Row],[ID]],TabelaGeral[[ID ]],TabelaGeral[[ Tipo Ativo ]])</f>
        <v>#N/A</v>
      </c>
      <c r="F199" s="21" t="e">
        <f>_xlfn.XLOOKUP(TabelaDividendos[[#This Row],[ID]],TabelaGeral[[ID ]],TabelaGeral[[ Setor Segmento]])</f>
        <v>#N/A</v>
      </c>
      <c r="G199" s="32"/>
    </row>
    <row r="200" spans="2:7">
      <c r="B200" s="23"/>
      <c r="C200" s="24"/>
      <c r="D200" s="21" t="e">
        <f>_xlfn.XLOOKUP(TabelaDividendos[[#This Row],[ID]],Tabela1[[ID ]],Tabela1[Ativo])</f>
        <v>#N/A</v>
      </c>
      <c r="E200" s="21" t="e">
        <f>_xlfn.XLOOKUP(TabelaDividendos[[#This Row],[ID]],TabelaGeral[[ID ]],TabelaGeral[[ Tipo Ativo ]])</f>
        <v>#N/A</v>
      </c>
      <c r="F200" s="21" t="e">
        <f>_xlfn.XLOOKUP(TabelaDividendos[[#This Row],[ID]],TabelaGeral[[ID ]],TabelaGeral[[ Setor Segmento]])</f>
        <v>#N/A</v>
      </c>
      <c r="G200" s="32"/>
    </row>
    <row r="201" spans="2:7">
      <c r="B201" s="23"/>
      <c r="C201" s="24"/>
      <c r="D201" s="21" t="e">
        <f>_xlfn.XLOOKUP(TabelaDividendos[[#This Row],[ID]],Tabela1[[ID ]],Tabela1[Ativo])</f>
        <v>#N/A</v>
      </c>
      <c r="E201" s="21" t="e">
        <f>_xlfn.XLOOKUP(TabelaDividendos[[#This Row],[ID]],TabelaGeral[[ID ]],TabelaGeral[[ Tipo Ativo ]])</f>
        <v>#N/A</v>
      </c>
      <c r="F201" s="21" t="e">
        <f>_xlfn.XLOOKUP(TabelaDividendos[[#This Row],[ID]],TabelaGeral[[ID ]],TabelaGeral[[ Setor Segmento]])</f>
        <v>#N/A</v>
      </c>
      <c r="G201" s="32"/>
    </row>
    <row r="202" spans="2:7">
      <c r="B202" s="23"/>
      <c r="C202" s="24"/>
      <c r="D202" s="21" t="e">
        <f>_xlfn.XLOOKUP(TabelaDividendos[[#This Row],[ID]],Tabela1[[ID ]],Tabela1[Ativo])</f>
        <v>#N/A</v>
      </c>
      <c r="E202" s="21" t="e">
        <f>_xlfn.XLOOKUP(TabelaDividendos[[#This Row],[ID]],TabelaGeral[[ID ]],TabelaGeral[[ Tipo Ativo ]])</f>
        <v>#N/A</v>
      </c>
      <c r="F202" s="21" t="e">
        <f>_xlfn.XLOOKUP(TabelaDividendos[[#This Row],[ID]],TabelaGeral[[ID ]],TabelaGeral[[ Setor Segmento]])</f>
        <v>#N/A</v>
      </c>
      <c r="G202" s="32"/>
    </row>
    <row r="203" spans="2:7">
      <c r="B203" s="23"/>
      <c r="C203" s="24"/>
      <c r="D203" s="21" t="e">
        <f>_xlfn.XLOOKUP(TabelaDividendos[[#This Row],[ID]],Tabela1[[ID ]],Tabela1[Ativo])</f>
        <v>#N/A</v>
      </c>
      <c r="E203" s="21" t="e">
        <f>_xlfn.XLOOKUP(TabelaDividendos[[#This Row],[ID]],TabelaGeral[[ID ]],TabelaGeral[[ Tipo Ativo ]])</f>
        <v>#N/A</v>
      </c>
      <c r="F203" s="21" t="e">
        <f>_xlfn.XLOOKUP(TabelaDividendos[[#This Row],[ID]],TabelaGeral[[ID ]],TabelaGeral[[ Setor Segmento]])</f>
        <v>#N/A</v>
      </c>
      <c r="G203" s="32"/>
    </row>
    <row r="204" spans="2:7">
      <c r="B204" s="23"/>
      <c r="C204" s="24"/>
      <c r="D204" s="21" t="e">
        <f>_xlfn.XLOOKUP(TabelaDividendos[[#This Row],[ID]],Tabela1[[ID ]],Tabela1[Ativo])</f>
        <v>#N/A</v>
      </c>
      <c r="E204" s="21" t="e">
        <f>_xlfn.XLOOKUP(TabelaDividendos[[#This Row],[ID]],TabelaGeral[[ID ]],TabelaGeral[[ Tipo Ativo ]])</f>
        <v>#N/A</v>
      </c>
      <c r="F204" s="21" t="e">
        <f>_xlfn.XLOOKUP(TabelaDividendos[[#This Row],[ID]],TabelaGeral[[ID ]],TabelaGeral[[ Setor Segmento]])</f>
        <v>#N/A</v>
      </c>
      <c r="G204" s="32"/>
    </row>
    <row r="205" spans="2:7">
      <c r="B205" s="23"/>
      <c r="C205" s="24"/>
      <c r="D205" s="21" t="e">
        <f>_xlfn.XLOOKUP(TabelaDividendos[[#This Row],[ID]],Tabela1[[ID ]],Tabela1[Ativo])</f>
        <v>#N/A</v>
      </c>
      <c r="E205" s="21" t="e">
        <f>_xlfn.XLOOKUP(TabelaDividendos[[#This Row],[ID]],TabelaGeral[[ID ]],TabelaGeral[[ Tipo Ativo ]])</f>
        <v>#N/A</v>
      </c>
      <c r="F205" s="21" t="e">
        <f>_xlfn.XLOOKUP(TabelaDividendos[[#This Row],[ID]],TabelaGeral[[ID ]],TabelaGeral[[ Setor Segmento]])</f>
        <v>#N/A</v>
      </c>
      <c r="G205" s="32"/>
    </row>
    <row r="206" spans="2:7">
      <c r="B206" s="23"/>
      <c r="C206" s="24"/>
      <c r="D206" s="21" t="e">
        <f>_xlfn.XLOOKUP(TabelaDividendos[[#This Row],[ID]],Tabela1[[ID ]],Tabela1[Ativo])</f>
        <v>#N/A</v>
      </c>
      <c r="E206" s="21" t="e">
        <f>_xlfn.XLOOKUP(TabelaDividendos[[#This Row],[ID]],TabelaGeral[[ID ]],TabelaGeral[[ Tipo Ativo ]])</f>
        <v>#N/A</v>
      </c>
      <c r="F206" s="21" t="e">
        <f>_xlfn.XLOOKUP(TabelaDividendos[[#This Row],[ID]],TabelaGeral[[ID ]],TabelaGeral[[ Setor Segmento]])</f>
        <v>#N/A</v>
      </c>
      <c r="G206" s="32"/>
    </row>
    <row r="207" spans="2:7">
      <c r="B207" s="23"/>
      <c r="C207" s="24"/>
      <c r="D207" s="21" t="e">
        <f>_xlfn.XLOOKUP(TabelaDividendos[[#This Row],[ID]],Tabela1[[ID ]],Tabela1[Ativo])</f>
        <v>#N/A</v>
      </c>
      <c r="E207" s="21" t="e">
        <f>_xlfn.XLOOKUP(TabelaDividendos[[#This Row],[ID]],TabelaGeral[[ID ]],TabelaGeral[[ Tipo Ativo ]])</f>
        <v>#N/A</v>
      </c>
      <c r="F207" s="21" t="e">
        <f>_xlfn.XLOOKUP(TabelaDividendos[[#This Row],[ID]],TabelaGeral[[ID ]],TabelaGeral[[ Setor Segmento]])</f>
        <v>#N/A</v>
      </c>
      <c r="G207" s="32"/>
    </row>
    <row r="208" spans="2:7">
      <c r="B208" s="23"/>
      <c r="C208" s="24"/>
      <c r="D208" s="21" t="e">
        <f>_xlfn.XLOOKUP(TabelaDividendos[[#This Row],[ID]],Tabela1[[ID ]],Tabela1[Ativo])</f>
        <v>#N/A</v>
      </c>
      <c r="E208" s="21" t="e">
        <f>_xlfn.XLOOKUP(TabelaDividendos[[#This Row],[ID]],TabelaGeral[[ID ]],TabelaGeral[[ Tipo Ativo ]])</f>
        <v>#N/A</v>
      </c>
      <c r="F208" s="21" t="e">
        <f>_xlfn.XLOOKUP(TabelaDividendos[[#This Row],[ID]],TabelaGeral[[ID ]],TabelaGeral[[ Setor Segmento]])</f>
        <v>#N/A</v>
      </c>
      <c r="G208" s="32"/>
    </row>
    <row r="209" spans="2:7">
      <c r="B209" s="23"/>
      <c r="C209" s="24"/>
      <c r="D209" s="21" t="e">
        <f>_xlfn.XLOOKUP(TabelaDividendos[[#This Row],[ID]],Tabela1[[ID ]],Tabela1[Ativo])</f>
        <v>#N/A</v>
      </c>
      <c r="E209" s="21" t="e">
        <f>_xlfn.XLOOKUP(TabelaDividendos[[#This Row],[ID]],TabelaGeral[[ID ]],TabelaGeral[[ Tipo Ativo ]])</f>
        <v>#N/A</v>
      </c>
      <c r="F209" s="21" t="e">
        <f>_xlfn.XLOOKUP(TabelaDividendos[[#This Row],[ID]],TabelaGeral[[ID ]],TabelaGeral[[ Setor Segmento]])</f>
        <v>#N/A</v>
      </c>
      <c r="G209" s="32"/>
    </row>
    <row r="210" spans="2:7">
      <c r="B210" s="23"/>
      <c r="C210" s="24"/>
      <c r="D210" s="21" t="e">
        <f>_xlfn.XLOOKUP(TabelaDividendos[[#This Row],[ID]],Tabela1[[ID ]],Tabela1[Ativo])</f>
        <v>#N/A</v>
      </c>
      <c r="E210" s="21" t="e">
        <f>_xlfn.XLOOKUP(TabelaDividendos[[#This Row],[ID]],TabelaGeral[[ID ]],TabelaGeral[[ Tipo Ativo ]])</f>
        <v>#N/A</v>
      </c>
      <c r="F210" s="21" t="e">
        <f>_xlfn.XLOOKUP(TabelaDividendos[[#This Row],[ID]],TabelaGeral[[ID ]],TabelaGeral[[ Setor Segmento]])</f>
        <v>#N/A</v>
      </c>
      <c r="G210" s="32"/>
    </row>
    <row r="211" spans="2:7">
      <c r="B211" s="23"/>
      <c r="C211" s="24"/>
      <c r="D211" s="21" t="e">
        <f>_xlfn.XLOOKUP(TabelaDividendos[[#This Row],[ID]],Tabela1[[ID ]],Tabela1[Ativo])</f>
        <v>#N/A</v>
      </c>
      <c r="E211" s="21" t="e">
        <f>_xlfn.XLOOKUP(TabelaDividendos[[#This Row],[ID]],TabelaGeral[[ID ]],TabelaGeral[[ Tipo Ativo ]])</f>
        <v>#N/A</v>
      </c>
      <c r="F211" s="21" t="e">
        <f>_xlfn.XLOOKUP(TabelaDividendos[[#This Row],[ID]],TabelaGeral[[ID ]],TabelaGeral[[ Setor Segmento]])</f>
        <v>#N/A</v>
      </c>
      <c r="G211" s="32"/>
    </row>
    <row r="212" spans="2:7">
      <c r="B212" s="23"/>
      <c r="C212" s="24"/>
      <c r="D212" s="21" t="e">
        <f>_xlfn.XLOOKUP(TabelaDividendos[[#This Row],[ID]],Tabela1[[ID ]],Tabela1[Ativo])</f>
        <v>#N/A</v>
      </c>
      <c r="E212" s="21" t="e">
        <f>_xlfn.XLOOKUP(TabelaDividendos[[#This Row],[ID]],TabelaGeral[[ID ]],TabelaGeral[[ Tipo Ativo ]])</f>
        <v>#N/A</v>
      </c>
      <c r="F212" s="21" t="e">
        <f>_xlfn.XLOOKUP(TabelaDividendos[[#This Row],[ID]],TabelaGeral[[ID ]],TabelaGeral[[ Setor Segmento]])</f>
        <v>#N/A</v>
      </c>
      <c r="G212" s="32"/>
    </row>
    <row r="213" spans="2:7">
      <c r="B213" s="23"/>
      <c r="C213" s="24"/>
      <c r="D213" s="21" t="e">
        <f>_xlfn.XLOOKUP(TabelaDividendos[[#This Row],[ID]],Tabela1[[ID ]],Tabela1[Ativo])</f>
        <v>#N/A</v>
      </c>
      <c r="E213" s="21" t="e">
        <f>_xlfn.XLOOKUP(TabelaDividendos[[#This Row],[ID]],TabelaGeral[[ID ]],TabelaGeral[[ Tipo Ativo ]])</f>
        <v>#N/A</v>
      </c>
      <c r="F213" s="21" t="e">
        <f>_xlfn.XLOOKUP(TabelaDividendos[[#This Row],[ID]],TabelaGeral[[ID ]],TabelaGeral[[ Setor Segmento]])</f>
        <v>#N/A</v>
      </c>
      <c r="G213" s="32"/>
    </row>
    <row r="214" spans="2:7">
      <c r="B214" s="23"/>
      <c r="C214" s="24"/>
      <c r="D214" s="21" t="e">
        <f>_xlfn.XLOOKUP(TabelaDividendos[[#This Row],[ID]],Tabela1[[ID ]],Tabela1[Ativo])</f>
        <v>#N/A</v>
      </c>
      <c r="E214" s="21" t="e">
        <f>_xlfn.XLOOKUP(TabelaDividendos[[#This Row],[ID]],TabelaGeral[[ID ]],TabelaGeral[[ Tipo Ativo ]])</f>
        <v>#N/A</v>
      </c>
      <c r="F214" s="21" t="e">
        <f>_xlfn.XLOOKUP(TabelaDividendos[[#This Row],[ID]],TabelaGeral[[ID ]],TabelaGeral[[ Setor Segmento]])</f>
        <v>#N/A</v>
      </c>
      <c r="G214" s="32"/>
    </row>
    <row r="215" spans="2:7">
      <c r="B215" s="23"/>
      <c r="C215" s="24"/>
      <c r="D215" s="21" t="e">
        <f>_xlfn.XLOOKUP(TabelaDividendos[[#This Row],[ID]],Tabela1[[ID ]],Tabela1[Ativo])</f>
        <v>#N/A</v>
      </c>
      <c r="E215" s="21" t="e">
        <f>_xlfn.XLOOKUP(TabelaDividendos[[#This Row],[ID]],TabelaGeral[[ID ]],TabelaGeral[[ Tipo Ativo ]])</f>
        <v>#N/A</v>
      </c>
      <c r="F215" s="21" t="e">
        <f>_xlfn.XLOOKUP(TabelaDividendos[[#This Row],[ID]],TabelaGeral[[ID ]],TabelaGeral[[ Setor Segmento]])</f>
        <v>#N/A</v>
      </c>
      <c r="G215" s="32"/>
    </row>
    <row r="216" spans="2:7">
      <c r="B216" s="23"/>
      <c r="C216" s="24"/>
      <c r="D216" s="21" t="e">
        <f>_xlfn.XLOOKUP(TabelaDividendos[[#This Row],[ID]],Tabela1[[ID ]],Tabela1[Ativo])</f>
        <v>#N/A</v>
      </c>
      <c r="E216" s="21" t="e">
        <f>_xlfn.XLOOKUP(TabelaDividendos[[#This Row],[ID]],TabelaGeral[[ID ]],TabelaGeral[[ Tipo Ativo ]])</f>
        <v>#N/A</v>
      </c>
      <c r="F216" s="21" t="e">
        <f>_xlfn.XLOOKUP(TabelaDividendos[[#This Row],[ID]],TabelaGeral[[ID ]],TabelaGeral[[ Setor Segmento]])</f>
        <v>#N/A</v>
      </c>
      <c r="G216" s="32"/>
    </row>
    <row r="217" spans="2:7">
      <c r="B217" s="23"/>
      <c r="C217" s="24"/>
      <c r="D217" s="21" t="e">
        <f>_xlfn.XLOOKUP(TabelaDividendos[[#This Row],[ID]],Tabela1[[ID ]],Tabela1[Ativo])</f>
        <v>#N/A</v>
      </c>
      <c r="E217" s="21" t="e">
        <f>_xlfn.XLOOKUP(TabelaDividendos[[#This Row],[ID]],TabelaGeral[[ID ]],TabelaGeral[[ Tipo Ativo ]])</f>
        <v>#N/A</v>
      </c>
      <c r="F217" s="21" t="e">
        <f>_xlfn.XLOOKUP(TabelaDividendos[[#This Row],[ID]],TabelaGeral[[ID ]],TabelaGeral[[ Setor Segmento]])</f>
        <v>#N/A</v>
      </c>
      <c r="G217" s="32"/>
    </row>
    <row r="218" spans="2:7">
      <c r="B218" s="23"/>
      <c r="C218" s="24"/>
      <c r="D218" s="21" t="e">
        <f>_xlfn.XLOOKUP(TabelaDividendos[[#This Row],[ID]],Tabela1[[ID ]],Tabela1[Ativo])</f>
        <v>#N/A</v>
      </c>
      <c r="E218" s="21" t="e">
        <f>_xlfn.XLOOKUP(TabelaDividendos[[#This Row],[ID]],TabelaGeral[[ID ]],TabelaGeral[[ Tipo Ativo ]])</f>
        <v>#N/A</v>
      </c>
      <c r="F218" s="21" t="e">
        <f>_xlfn.XLOOKUP(TabelaDividendos[[#This Row],[ID]],TabelaGeral[[ID ]],TabelaGeral[[ Setor Segmento]])</f>
        <v>#N/A</v>
      </c>
      <c r="G218" s="32"/>
    </row>
    <row r="219" spans="2:7">
      <c r="B219" s="23"/>
      <c r="C219" s="24"/>
      <c r="D219" s="21" t="e">
        <f>_xlfn.XLOOKUP(TabelaDividendos[[#This Row],[ID]],Tabela1[[ID ]],Tabela1[Ativo])</f>
        <v>#N/A</v>
      </c>
      <c r="E219" s="21" t="e">
        <f>_xlfn.XLOOKUP(TabelaDividendos[[#This Row],[ID]],TabelaGeral[[ID ]],TabelaGeral[[ Tipo Ativo ]])</f>
        <v>#N/A</v>
      </c>
      <c r="F219" s="21" t="e">
        <f>_xlfn.XLOOKUP(TabelaDividendos[[#This Row],[ID]],TabelaGeral[[ID ]],TabelaGeral[[ Setor Segmento]])</f>
        <v>#N/A</v>
      </c>
      <c r="G219" s="32"/>
    </row>
    <row r="220" spans="2:7">
      <c r="B220" s="23"/>
      <c r="C220" s="24"/>
      <c r="D220" s="21" t="e">
        <f>_xlfn.XLOOKUP(TabelaDividendos[[#This Row],[ID]],Tabela1[[ID ]],Tabela1[Ativo])</f>
        <v>#N/A</v>
      </c>
      <c r="E220" s="21" t="e">
        <f>_xlfn.XLOOKUP(TabelaDividendos[[#This Row],[ID]],TabelaGeral[[ID ]],TabelaGeral[[ Tipo Ativo ]])</f>
        <v>#N/A</v>
      </c>
      <c r="F220" s="21" t="e">
        <f>_xlfn.XLOOKUP(TabelaDividendos[[#This Row],[ID]],TabelaGeral[[ID ]],TabelaGeral[[ Setor Segmento]])</f>
        <v>#N/A</v>
      </c>
      <c r="G220" s="32"/>
    </row>
    <row r="221" spans="2:7">
      <c r="B221" s="23"/>
      <c r="C221" s="24"/>
      <c r="D221" s="21" t="e">
        <f>_xlfn.XLOOKUP(TabelaDividendos[[#This Row],[ID]],Tabela1[[ID ]],Tabela1[Ativo])</f>
        <v>#N/A</v>
      </c>
      <c r="E221" s="21" t="e">
        <f>_xlfn.XLOOKUP(TabelaDividendos[[#This Row],[ID]],TabelaGeral[[ID ]],TabelaGeral[[ Tipo Ativo ]])</f>
        <v>#N/A</v>
      </c>
      <c r="F221" s="21" t="e">
        <f>_xlfn.XLOOKUP(TabelaDividendos[[#This Row],[ID]],TabelaGeral[[ID ]],TabelaGeral[[ Setor Segmento]])</f>
        <v>#N/A</v>
      </c>
      <c r="G221" s="32"/>
    </row>
    <row r="222" spans="2:7">
      <c r="B222" s="23"/>
      <c r="C222" s="24"/>
      <c r="D222" s="21" t="e">
        <f>_xlfn.XLOOKUP(TabelaDividendos[[#This Row],[ID]],Tabela1[[ID ]],Tabela1[Ativo])</f>
        <v>#N/A</v>
      </c>
      <c r="E222" s="21" t="e">
        <f>_xlfn.XLOOKUP(TabelaDividendos[[#This Row],[ID]],TabelaGeral[[ID ]],TabelaGeral[[ Tipo Ativo ]])</f>
        <v>#N/A</v>
      </c>
      <c r="F222" s="21" t="e">
        <f>_xlfn.XLOOKUP(TabelaDividendos[[#This Row],[ID]],TabelaGeral[[ID ]],TabelaGeral[[ Setor Segmento]])</f>
        <v>#N/A</v>
      </c>
      <c r="G222" s="32"/>
    </row>
    <row r="223" spans="2:7">
      <c r="B223" s="23"/>
      <c r="C223" s="24"/>
      <c r="D223" s="21" t="e">
        <f>_xlfn.XLOOKUP(TabelaDividendos[[#This Row],[ID]],Tabela1[[ID ]],Tabela1[Ativo])</f>
        <v>#N/A</v>
      </c>
      <c r="E223" s="21" t="e">
        <f>_xlfn.XLOOKUP(TabelaDividendos[[#This Row],[ID]],TabelaGeral[[ID ]],TabelaGeral[[ Tipo Ativo ]])</f>
        <v>#N/A</v>
      </c>
      <c r="F223" s="21" t="e">
        <f>_xlfn.XLOOKUP(TabelaDividendos[[#This Row],[ID]],TabelaGeral[[ID ]],TabelaGeral[[ Setor Segmento]])</f>
        <v>#N/A</v>
      </c>
      <c r="G223" s="32"/>
    </row>
    <row r="224" spans="2:7">
      <c r="B224" s="23"/>
      <c r="C224" s="24"/>
      <c r="D224" s="21" t="e">
        <f>_xlfn.XLOOKUP(TabelaDividendos[[#This Row],[ID]],Tabela1[[ID ]],Tabela1[Ativo])</f>
        <v>#N/A</v>
      </c>
      <c r="E224" s="21" t="e">
        <f>_xlfn.XLOOKUP(TabelaDividendos[[#This Row],[ID]],TabelaGeral[[ID ]],TabelaGeral[[ Tipo Ativo ]])</f>
        <v>#N/A</v>
      </c>
      <c r="F224" s="21" t="e">
        <f>_xlfn.XLOOKUP(TabelaDividendos[[#This Row],[ID]],TabelaGeral[[ID ]],TabelaGeral[[ Setor Segmento]])</f>
        <v>#N/A</v>
      </c>
      <c r="G224" s="32"/>
    </row>
    <row r="225" spans="2:7">
      <c r="B225" s="23"/>
      <c r="C225" s="24"/>
      <c r="D225" s="21" t="e">
        <f>_xlfn.XLOOKUP(TabelaDividendos[[#This Row],[ID]],Tabela1[[ID ]],Tabela1[Ativo])</f>
        <v>#N/A</v>
      </c>
      <c r="E225" s="21" t="e">
        <f>_xlfn.XLOOKUP(TabelaDividendos[[#This Row],[ID]],TabelaGeral[[ID ]],TabelaGeral[[ Tipo Ativo ]])</f>
        <v>#N/A</v>
      </c>
      <c r="F225" s="21" t="e">
        <f>_xlfn.XLOOKUP(TabelaDividendos[[#This Row],[ID]],TabelaGeral[[ID ]],TabelaGeral[[ Setor Segmento]])</f>
        <v>#N/A</v>
      </c>
      <c r="G225" s="32"/>
    </row>
    <row r="226" spans="2:7">
      <c r="B226" s="23"/>
      <c r="C226" s="24"/>
      <c r="D226" s="21" t="e">
        <f>_xlfn.XLOOKUP(TabelaDividendos[[#This Row],[ID]],Tabela1[[ID ]],Tabela1[Ativo])</f>
        <v>#N/A</v>
      </c>
      <c r="E226" s="21" t="e">
        <f>_xlfn.XLOOKUP(TabelaDividendos[[#This Row],[ID]],TabelaGeral[[ID ]],TabelaGeral[[ Tipo Ativo ]])</f>
        <v>#N/A</v>
      </c>
      <c r="F226" s="21" t="e">
        <f>_xlfn.XLOOKUP(TabelaDividendos[[#This Row],[ID]],TabelaGeral[[ID ]],TabelaGeral[[ Setor Segmento]])</f>
        <v>#N/A</v>
      </c>
      <c r="G226" s="32"/>
    </row>
    <row r="227" spans="2:7">
      <c r="B227" s="23"/>
      <c r="C227" s="24"/>
      <c r="D227" s="21" t="e">
        <f>_xlfn.XLOOKUP(TabelaDividendos[[#This Row],[ID]],Tabela1[[ID ]],Tabela1[Ativo])</f>
        <v>#N/A</v>
      </c>
      <c r="E227" s="21" t="e">
        <f>_xlfn.XLOOKUP(TabelaDividendos[[#This Row],[ID]],TabelaGeral[[ID ]],TabelaGeral[[ Tipo Ativo ]])</f>
        <v>#N/A</v>
      </c>
      <c r="F227" s="21" t="e">
        <f>_xlfn.XLOOKUP(TabelaDividendos[[#This Row],[ID]],TabelaGeral[[ID ]],TabelaGeral[[ Setor Segmento]])</f>
        <v>#N/A</v>
      </c>
      <c r="G227" s="32"/>
    </row>
    <row r="228" spans="2:7">
      <c r="B228" s="23"/>
      <c r="C228" s="24"/>
      <c r="D228" s="21" t="e">
        <f>_xlfn.XLOOKUP(TabelaDividendos[[#This Row],[ID]],Tabela1[[ID ]],Tabela1[Ativo])</f>
        <v>#N/A</v>
      </c>
      <c r="E228" s="21" t="e">
        <f>_xlfn.XLOOKUP(TabelaDividendos[[#This Row],[ID]],TabelaGeral[[ID ]],TabelaGeral[[ Tipo Ativo ]])</f>
        <v>#N/A</v>
      </c>
      <c r="F228" s="21" t="e">
        <f>_xlfn.XLOOKUP(TabelaDividendos[[#This Row],[ID]],TabelaGeral[[ID ]],TabelaGeral[[ Setor Segmento]])</f>
        <v>#N/A</v>
      </c>
      <c r="G228" s="3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0D8B-BD57-41A7-A4D5-7B4C61523660}">
  <dimension ref="B2:P41"/>
  <sheetViews>
    <sheetView topLeftCell="A29" zoomScale="130" zoomScaleNormal="130" workbookViewId="0">
      <selection activeCell="P49" sqref="P49"/>
    </sheetView>
  </sheetViews>
  <sheetFormatPr defaultRowHeight="15"/>
  <cols>
    <col min="1" max="1" width="9.140625" style="17"/>
    <col min="2" max="2" width="11.140625" style="17" bestFit="1" customWidth="1"/>
    <col min="3" max="6" width="11.85546875" style="17" bestFit="1" customWidth="1"/>
    <col min="7" max="14" width="13.140625" style="17" bestFit="1" customWidth="1"/>
    <col min="15" max="15" width="14.5703125" style="17" bestFit="1" customWidth="1"/>
    <col min="16" max="16" width="11.85546875" style="17" bestFit="1" customWidth="1"/>
    <col min="17" max="16384" width="9.140625" style="17"/>
  </cols>
  <sheetData>
    <row r="2" spans="2:16" ht="15.75">
      <c r="B2" s="53" t="s">
        <v>25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5"/>
    </row>
    <row r="3" spans="2:16">
      <c r="B3" s="9"/>
      <c r="C3" s="10">
        <v>45658</v>
      </c>
      <c r="D3" s="10">
        <v>45689</v>
      </c>
      <c r="E3" s="10">
        <v>45717</v>
      </c>
      <c r="F3" s="10">
        <v>45748</v>
      </c>
      <c r="G3" s="10">
        <v>45778</v>
      </c>
      <c r="H3" s="10">
        <v>45809</v>
      </c>
      <c r="I3" s="10">
        <v>45839</v>
      </c>
      <c r="J3" s="10">
        <v>45870</v>
      </c>
      <c r="K3" s="10">
        <v>45901</v>
      </c>
      <c r="L3" s="10">
        <v>45931</v>
      </c>
      <c r="M3" s="10">
        <v>45962</v>
      </c>
      <c r="N3" s="10">
        <v>45992</v>
      </c>
      <c r="O3" s="9" t="s">
        <v>26</v>
      </c>
      <c r="P3" s="9" t="s">
        <v>27</v>
      </c>
    </row>
    <row r="4" spans="2:16" ht="15.75">
      <c r="B4" s="8" t="s">
        <v>28</v>
      </c>
      <c r="C4" s="7">
        <v>0</v>
      </c>
      <c r="D4" s="7">
        <v>0.93</v>
      </c>
      <c r="E4" s="7">
        <v>1.86</v>
      </c>
      <c r="F4" s="7">
        <v>2.79</v>
      </c>
      <c r="G4" s="7">
        <v>3.72</v>
      </c>
      <c r="H4" s="7">
        <v>4.6500000000000004</v>
      </c>
      <c r="I4" s="7">
        <v>9.06</v>
      </c>
      <c r="J4" s="7">
        <v>6.51</v>
      </c>
      <c r="K4" s="7">
        <v>9.3000000000000007</v>
      </c>
      <c r="L4" s="7">
        <v>10.23</v>
      </c>
      <c r="M4" s="7">
        <v>11.16</v>
      </c>
      <c r="N4" s="7">
        <v>13.02</v>
      </c>
      <c r="O4" s="4">
        <f>SUM(C4:N4)</f>
        <v>73.23</v>
      </c>
      <c r="P4" s="5">
        <f t="shared" ref="P4:P9" si="0">AVERAGE(C4:N4)</f>
        <v>6.1025</v>
      </c>
    </row>
    <row r="5" spans="2:16" ht="15.75">
      <c r="B5" s="8" t="s">
        <v>29</v>
      </c>
      <c r="C5" s="7">
        <v>0.87</v>
      </c>
      <c r="D5" s="7">
        <v>1.56</v>
      </c>
      <c r="E5" s="7">
        <v>2.34</v>
      </c>
      <c r="F5" s="7">
        <v>3.12</v>
      </c>
      <c r="G5" s="7">
        <v>3.9</v>
      </c>
      <c r="H5" s="7">
        <v>4.68</v>
      </c>
      <c r="I5" s="7">
        <v>5.46</v>
      </c>
      <c r="J5" s="7">
        <v>7.8</v>
      </c>
      <c r="K5" s="7">
        <v>8.69</v>
      </c>
      <c r="L5" s="7">
        <v>9.48</v>
      </c>
      <c r="M5" s="7">
        <v>9.48</v>
      </c>
      <c r="N5" s="7">
        <v>9.48</v>
      </c>
      <c r="O5" s="4">
        <f t="shared" ref="O5:O9" si="1">SUM(C5:N5)</f>
        <v>66.860000000000014</v>
      </c>
      <c r="P5" s="5">
        <f t="shared" si="0"/>
        <v>5.5716666666666681</v>
      </c>
    </row>
    <row r="6" spans="2:16" ht="15.75">
      <c r="B6" s="8" t="s">
        <v>30</v>
      </c>
      <c r="C6" s="7">
        <v>0.92</v>
      </c>
      <c r="D6" s="7">
        <v>1.84</v>
      </c>
      <c r="E6" s="7">
        <v>2.76</v>
      </c>
      <c r="F6" s="7">
        <v>3.68</v>
      </c>
      <c r="G6" s="7">
        <v>4.5999999999999996</v>
      </c>
      <c r="H6" s="7">
        <v>5.52</v>
      </c>
      <c r="I6" s="7">
        <v>6.44</v>
      </c>
      <c r="J6" s="7">
        <v>8.2799999999999994</v>
      </c>
      <c r="K6" s="7">
        <v>9.1999999999999993</v>
      </c>
      <c r="L6" s="7">
        <v>10.119999999999999</v>
      </c>
      <c r="M6" s="7">
        <v>11.04</v>
      </c>
      <c r="N6" s="7">
        <v>11.96</v>
      </c>
      <c r="O6" s="4">
        <f t="shared" si="1"/>
        <v>76.359999999999985</v>
      </c>
      <c r="P6" s="5">
        <f t="shared" si="0"/>
        <v>6.3633333333333324</v>
      </c>
    </row>
    <row r="7" spans="2:16" ht="15.75">
      <c r="B7" s="8" t="s">
        <v>31</v>
      </c>
      <c r="C7" s="7">
        <v>0</v>
      </c>
      <c r="D7" s="7">
        <v>0</v>
      </c>
      <c r="E7" s="7">
        <v>0</v>
      </c>
      <c r="F7" s="7">
        <v>0</v>
      </c>
      <c r="G7" s="7">
        <v>0.22</v>
      </c>
      <c r="H7" s="7">
        <v>0.2</v>
      </c>
      <c r="I7" s="7">
        <v>0.81</v>
      </c>
      <c r="J7" s="7">
        <v>1.3</v>
      </c>
      <c r="K7" s="7">
        <v>1.44</v>
      </c>
      <c r="L7" s="7">
        <v>1.6</v>
      </c>
      <c r="M7" s="7">
        <v>2.25</v>
      </c>
      <c r="N7" s="7">
        <v>3.33</v>
      </c>
      <c r="O7" s="4">
        <f t="shared" si="1"/>
        <v>11.15</v>
      </c>
      <c r="P7" s="5">
        <f t="shared" si="0"/>
        <v>0.9291666666666667</v>
      </c>
    </row>
    <row r="8" spans="2:16" ht="15.75">
      <c r="B8" s="8" t="s">
        <v>32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1</v>
      </c>
      <c r="O8" s="4">
        <f t="shared" si="1"/>
        <v>1</v>
      </c>
      <c r="P8" s="5">
        <f t="shared" si="0"/>
        <v>8.3333333333333329E-2</v>
      </c>
    </row>
    <row r="9" spans="2:16" ht="15.75">
      <c r="B9" s="8" t="s">
        <v>33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1.26</v>
      </c>
      <c r="M9" s="7">
        <v>2.25</v>
      </c>
      <c r="N9" s="7">
        <v>3.15</v>
      </c>
      <c r="O9" s="4">
        <f t="shared" si="1"/>
        <v>6.66</v>
      </c>
      <c r="P9" s="5">
        <f t="shared" si="0"/>
        <v>0.55500000000000005</v>
      </c>
    </row>
    <row r="10" spans="2:16" ht="15.75">
      <c r="B10" s="6" t="s">
        <v>34</v>
      </c>
      <c r="C10" s="7">
        <f>SUM(C4:C9)</f>
        <v>1.79</v>
      </c>
      <c r="D10" s="7">
        <f t="shared" ref="D10:O10" si="2">SUM(D4:D9)</f>
        <v>4.33</v>
      </c>
      <c r="E10" s="7">
        <f t="shared" si="2"/>
        <v>6.96</v>
      </c>
      <c r="F10" s="7">
        <f t="shared" si="2"/>
        <v>9.59</v>
      </c>
      <c r="G10" s="7">
        <f t="shared" si="2"/>
        <v>12.44</v>
      </c>
      <c r="H10" s="7">
        <f t="shared" si="2"/>
        <v>15.049999999999999</v>
      </c>
      <c r="I10" s="7">
        <f t="shared" si="2"/>
        <v>21.77</v>
      </c>
      <c r="J10" s="7">
        <f t="shared" si="2"/>
        <v>23.889999999999997</v>
      </c>
      <c r="K10" s="7">
        <f t="shared" si="2"/>
        <v>28.630000000000003</v>
      </c>
      <c r="L10" s="7">
        <f t="shared" si="2"/>
        <v>32.69</v>
      </c>
      <c r="M10" s="7">
        <f t="shared" si="2"/>
        <v>36.18</v>
      </c>
      <c r="N10" s="7">
        <f t="shared" si="2"/>
        <v>41.94</v>
      </c>
      <c r="O10" s="7">
        <f t="shared" si="2"/>
        <v>235.26000000000002</v>
      </c>
      <c r="P10" s="18"/>
    </row>
    <row r="29" spans="2:16" ht="15.75">
      <c r="B29" s="53" t="s">
        <v>35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5"/>
    </row>
    <row r="30" spans="2:16" ht="15.75">
      <c r="B30" s="9"/>
      <c r="C30" s="16">
        <v>46023</v>
      </c>
      <c r="D30" s="16">
        <v>46054</v>
      </c>
      <c r="E30" s="16">
        <v>46082</v>
      </c>
      <c r="F30" s="16">
        <v>46113</v>
      </c>
      <c r="G30" s="16">
        <v>46143</v>
      </c>
      <c r="H30" s="16">
        <v>46174</v>
      </c>
      <c r="I30" s="16">
        <v>46204</v>
      </c>
      <c r="J30" s="16">
        <v>46235</v>
      </c>
      <c r="K30" s="16">
        <v>46266</v>
      </c>
      <c r="L30" s="16">
        <v>46296</v>
      </c>
      <c r="M30" s="16">
        <v>46327</v>
      </c>
      <c r="N30" s="16">
        <v>46357</v>
      </c>
      <c r="O30" s="9" t="s">
        <v>26</v>
      </c>
      <c r="P30" s="9" t="s">
        <v>27</v>
      </c>
    </row>
    <row r="31" spans="2:16" ht="15.75">
      <c r="B31" s="8" t="s">
        <v>28</v>
      </c>
      <c r="C31" s="15">
        <v>15</v>
      </c>
      <c r="D31" s="15">
        <v>14.88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1">
        <f>SUM(C31:N31)</f>
        <v>29.880000000000003</v>
      </c>
      <c r="P31" s="12">
        <f>AVERAGE(C31:N31)</f>
        <v>14.940000000000001</v>
      </c>
    </row>
    <row r="32" spans="2:16" ht="15.75">
      <c r="B32" s="8" t="s">
        <v>36</v>
      </c>
      <c r="C32" s="15">
        <v>1.3</v>
      </c>
      <c r="D32" s="15">
        <v>2.64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1">
        <f t="shared" ref="O32:O40" si="3">SUM(C32:N32)</f>
        <v>3.9400000000000004</v>
      </c>
      <c r="P32" s="12">
        <f t="shared" ref="P32:P40" si="4">AVERAGE(C32:N32)</f>
        <v>1.9700000000000002</v>
      </c>
    </row>
    <row r="33" spans="2:16" ht="15.75">
      <c r="B33" s="8" t="s">
        <v>29</v>
      </c>
      <c r="C33" s="15">
        <v>9.48</v>
      </c>
      <c r="D33" s="15">
        <v>10.4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1">
        <f t="shared" si="3"/>
        <v>19.880000000000003</v>
      </c>
      <c r="P33" s="12">
        <f t="shared" si="4"/>
        <v>9.9400000000000013</v>
      </c>
    </row>
    <row r="34" spans="2:16" ht="15.75">
      <c r="B34" s="8" t="s">
        <v>30</v>
      </c>
      <c r="C34" s="15">
        <v>12.88</v>
      </c>
      <c r="D34" s="15">
        <v>12.88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1">
        <f t="shared" si="3"/>
        <v>25.76</v>
      </c>
      <c r="P34" s="12">
        <f t="shared" si="4"/>
        <v>12.88</v>
      </c>
    </row>
    <row r="35" spans="2:16" ht="15.75">
      <c r="B35" s="8" t="s">
        <v>31</v>
      </c>
      <c r="C35" s="15">
        <v>4.2300000000000004</v>
      </c>
      <c r="D35" s="15">
        <v>5.13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1">
        <f t="shared" si="3"/>
        <v>9.36</v>
      </c>
      <c r="P35" s="12">
        <f t="shared" si="4"/>
        <v>4.68</v>
      </c>
    </row>
    <row r="36" spans="2:16" ht="15.75">
      <c r="B36" s="8" t="s">
        <v>32</v>
      </c>
      <c r="C36" s="15" t="s">
        <v>37</v>
      </c>
      <c r="D36" s="15" t="s">
        <v>37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1">
        <f t="shared" si="3"/>
        <v>0</v>
      </c>
      <c r="P36" s="12" t="e">
        <f t="shared" si="4"/>
        <v>#DIV/0!</v>
      </c>
    </row>
    <row r="37" spans="2:16" ht="15.75">
      <c r="B37" s="8" t="s">
        <v>38</v>
      </c>
      <c r="C37" s="15" t="s">
        <v>37</v>
      </c>
      <c r="D37" s="15" t="s">
        <v>37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1">
        <f t="shared" si="3"/>
        <v>0</v>
      </c>
      <c r="P37" s="12" t="e">
        <f t="shared" si="4"/>
        <v>#DIV/0!</v>
      </c>
    </row>
    <row r="38" spans="2:16" ht="15.75">
      <c r="B38" s="8" t="s">
        <v>39</v>
      </c>
      <c r="C38" s="15" t="s">
        <v>37</v>
      </c>
      <c r="D38" s="15" t="s">
        <v>37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1">
        <f t="shared" si="3"/>
        <v>0</v>
      </c>
      <c r="P38" s="12" t="e">
        <f t="shared" si="4"/>
        <v>#DIV/0!</v>
      </c>
    </row>
    <row r="39" spans="2:16" ht="15.75">
      <c r="B39" s="8" t="s">
        <v>40</v>
      </c>
      <c r="C39" s="15" t="s">
        <v>37</v>
      </c>
      <c r="D39" s="15" t="s">
        <v>37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1">
        <f t="shared" si="3"/>
        <v>0</v>
      </c>
      <c r="P39" s="12" t="e">
        <f t="shared" si="4"/>
        <v>#DIV/0!</v>
      </c>
    </row>
    <row r="40" spans="2:16" ht="15.75">
      <c r="B40" s="8" t="s">
        <v>33</v>
      </c>
      <c r="C40" s="15">
        <v>4.05</v>
      </c>
      <c r="D40" s="15">
        <v>4.95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1">
        <f t="shared" si="3"/>
        <v>9</v>
      </c>
      <c r="P40" s="12">
        <f t="shared" si="4"/>
        <v>4.5</v>
      </c>
    </row>
    <row r="41" spans="2:16" ht="15.75">
      <c r="B41" s="13" t="s">
        <v>41</v>
      </c>
      <c r="C41" s="14">
        <f>SUM(C31:C40)</f>
        <v>46.94</v>
      </c>
      <c r="D41" s="14">
        <f t="shared" ref="D41:O41" si="5">SUM(D31:D40)</f>
        <v>50.88000000000001</v>
      </c>
      <c r="E41" s="14">
        <f t="shared" si="5"/>
        <v>0</v>
      </c>
      <c r="F41" s="14">
        <f t="shared" si="5"/>
        <v>0</v>
      </c>
      <c r="G41" s="14">
        <f t="shared" si="5"/>
        <v>0</v>
      </c>
      <c r="H41" s="14">
        <f t="shared" si="5"/>
        <v>0</v>
      </c>
      <c r="I41" s="14">
        <f t="shared" si="5"/>
        <v>0</v>
      </c>
      <c r="J41" s="14">
        <f t="shared" si="5"/>
        <v>0</v>
      </c>
      <c r="K41" s="14">
        <f t="shared" si="5"/>
        <v>0</v>
      </c>
      <c r="L41" s="14">
        <f t="shared" si="5"/>
        <v>0</v>
      </c>
      <c r="M41" s="14">
        <f t="shared" si="5"/>
        <v>0</v>
      </c>
      <c r="N41" s="14">
        <f t="shared" si="5"/>
        <v>0</v>
      </c>
      <c r="O41" s="14">
        <f t="shared" si="5"/>
        <v>97.820000000000007</v>
      </c>
      <c r="P41" s="19"/>
    </row>
  </sheetData>
  <mergeCells count="2">
    <mergeCell ref="B2:P2"/>
    <mergeCell ref="B29:P29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5618-D7DF-45F4-B68D-E729902649C7}">
  <dimension ref="A1:H26"/>
  <sheetViews>
    <sheetView workbookViewId="0">
      <selection activeCell="D31" sqref="D31"/>
    </sheetView>
  </sheetViews>
  <sheetFormatPr defaultRowHeight="15"/>
  <cols>
    <col min="1" max="1" width="17.140625" customWidth="1"/>
    <col min="2" max="2" width="9.85546875" customWidth="1"/>
    <col min="3" max="3" width="10.7109375" customWidth="1"/>
    <col min="4" max="4" width="27.7109375" customWidth="1"/>
    <col min="5" max="5" width="28.5703125" customWidth="1"/>
    <col min="7" max="7" width="12" customWidth="1"/>
    <col min="8" max="8" width="7.85546875" customWidth="1"/>
  </cols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8">
      <c r="A2" s="1">
        <v>45658</v>
      </c>
      <c r="B2" s="2">
        <v>1.79</v>
      </c>
      <c r="H2" s="3"/>
    </row>
    <row r="3" spans="1:8">
      <c r="A3" s="1">
        <v>45689</v>
      </c>
      <c r="B3" s="2">
        <v>4.33</v>
      </c>
      <c r="H3" s="3"/>
    </row>
    <row r="4" spans="1:8">
      <c r="A4" s="1">
        <v>45717</v>
      </c>
      <c r="B4" s="2">
        <v>6.96</v>
      </c>
      <c r="H4" s="3"/>
    </row>
    <row r="5" spans="1:8">
      <c r="A5" s="1">
        <v>45748</v>
      </c>
      <c r="B5" s="2">
        <v>9.59</v>
      </c>
      <c r="H5" s="3"/>
    </row>
    <row r="6" spans="1:8">
      <c r="A6" s="1">
        <v>45778</v>
      </c>
      <c r="B6" s="2">
        <v>12.44</v>
      </c>
      <c r="H6" s="3"/>
    </row>
    <row r="7" spans="1:8">
      <c r="A7" s="1">
        <v>45809</v>
      </c>
      <c r="B7" s="2">
        <v>15.049999999999999</v>
      </c>
      <c r="H7" s="3"/>
    </row>
    <row r="8" spans="1:8">
      <c r="A8" s="1">
        <v>45839</v>
      </c>
      <c r="B8" s="2">
        <v>21.77</v>
      </c>
      <c r="H8" s="3"/>
    </row>
    <row r="9" spans="1:8">
      <c r="A9" s="1">
        <v>45870</v>
      </c>
      <c r="B9" s="2">
        <v>23.889999999999997</v>
      </c>
    </row>
    <row r="10" spans="1:8">
      <c r="A10" s="1">
        <v>45901</v>
      </c>
      <c r="B10" s="2">
        <v>28.630000000000003</v>
      </c>
    </row>
    <row r="11" spans="1:8">
      <c r="A11" s="1">
        <v>45931</v>
      </c>
      <c r="B11" s="2">
        <v>32.69</v>
      </c>
    </row>
    <row r="12" spans="1:8">
      <c r="A12" s="1">
        <v>45962</v>
      </c>
      <c r="B12" s="2">
        <v>36.18</v>
      </c>
    </row>
    <row r="13" spans="1:8">
      <c r="A13" s="1">
        <v>45992</v>
      </c>
      <c r="B13" s="2">
        <v>41.94</v>
      </c>
      <c r="C13" s="2">
        <v>41.94</v>
      </c>
      <c r="D13" s="2">
        <v>41.94</v>
      </c>
      <c r="E13" s="2">
        <v>41.94</v>
      </c>
    </row>
    <row r="14" spans="1:8">
      <c r="A14" s="1">
        <v>46023</v>
      </c>
      <c r="C14" s="2">
        <f t="shared" ref="C14:C26" si="0">_xlfn.FORECAST.ETS(A14,$B$2:$B$13,$A$2:$A$13,1,1)</f>
        <v>46.045269589954934</v>
      </c>
      <c r="D14" s="2">
        <f t="shared" ref="D14:D26" si="1">C14-_xlfn.FORECAST.ETS.CONFINT(A14,$B$2:$B$13,$A$2:$A$13,0.85,1,1)</f>
        <v>44.021593125520049</v>
      </c>
      <c r="E14" s="2">
        <f t="shared" ref="E14:E26" si="2">C14+_xlfn.FORECAST.ETS.CONFINT(A14,$B$2:$B$13,$A$2:$A$13,0.85,1,1)</f>
        <v>48.068946054389819</v>
      </c>
    </row>
    <row r="15" spans="1:8">
      <c r="A15" s="1">
        <v>46054</v>
      </c>
      <c r="C15" s="2">
        <f t="shared" si="0"/>
        <v>50.717743113196768</v>
      </c>
      <c r="D15" s="2">
        <f t="shared" si="1"/>
        <v>47.608180079194376</v>
      </c>
      <c r="E15" s="2">
        <f t="shared" si="2"/>
        <v>53.82730614719916</v>
      </c>
    </row>
    <row r="16" spans="1:8">
      <c r="A16" s="1">
        <v>46082</v>
      </c>
      <c r="C16" s="2">
        <f t="shared" si="0"/>
        <v>55.390216636438602</v>
      </c>
      <c r="D16" s="2">
        <f t="shared" si="1"/>
        <v>50.802719834959028</v>
      </c>
      <c r="E16" s="2">
        <f t="shared" si="2"/>
        <v>59.977713437918176</v>
      </c>
    </row>
    <row r="17" spans="1:5">
      <c r="A17" s="1">
        <v>46113</v>
      </c>
      <c r="C17" s="2">
        <f t="shared" si="0"/>
        <v>60.062690159680436</v>
      </c>
      <c r="D17" s="2">
        <f t="shared" si="1"/>
        <v>53.71681484003264</v>
      </c>
      <c r="E17" s="2">
        <f t="shared" si="2"/>
        <v>66.408565479328232</v>
      </c>
    </row>
    <row r="18" spans="1:5">
      <c r="A18" s="1">
        <v>46143</v>
      </c>
      <c r="C18" s="2">
        <f t="shared" si="0"/>
        <v>64.735163682922263</v>
      </c>
      <c r="D18" s="2">
        <f t="shared" si="1"/>
        <v>56.404975480631926</v>
      </c>
      <c r="E18" s="2">
        <f t="shared" si="2"/>
        <v>73.065351885212593</v>
      </c>
    </row>
    <row r="19" spans="1:5">
      <c r="A19" s="1">
        <v>46174</v>
      </c>
      <c r="C19" s="2">
        <f t="shared" si="0"/>
        <v>69.407637206164111</v>
      </c>
      <c r="D19" s="2">
        <f t="shared" si="1"/>
        <v>58.897714948643582</v>
      </c>
      <c r="E19" s="2">
        <f t="shared" si="2"/>
        <v>79.91755946368464</v>
      </c>
    </row>
    <row r="20" spans="1:5">
      <c r="A20" s="1">
        <v>46204</v>
      </c>
      <c r="C20" s="2">
        <f t="shared" si="0"/>
        <v>74.080110729405931</v>
      </c>
      <c r="D20" s="2">
        <f t="shared" si="1"/>
        <v>61.214767441739113</v>
      </c>
      <c r="E20" s="2">
        <f t="shared" si="2"/>
        <v>86.945454017072748</v>
      </c>
    </row>
    <row r="21" spans="1:5">
      <c r="A21" s="1">
        <v>46235</v>
      </c>
      <c r="C21" s="2">
        <f t="shared" si="0"/>
        <v>78.752584252647779</v>
      </c>
      <c r="D21" s="2">
        <f t="shared" si="1"/>
        <v>63.370274775423759</v>
      </c>
      <c r="E21" s="2">
        <f t="shared" si="2"/>
        <v>94.134893729871806</v>
      </c>
    </row>
    <row r="22" spans="1:5">
      <c r="A22" s="1">
        <v>46266</v>
      </c>
      <c r="C22" s="2">
        <f t="shared" si="0"/>
        <v>83.425057775889599</v>
      </c>
      <c r="D22" s="2">
        <f t="shared" si="1"/>
        <v>65.375092127550374</v>
      </c>
      <c r="E22" s="2">
        <f t="shared" si="2"/>
        <v>101.47502342422882</v>
      </c>
    </row>
    <row r="23" spans="1:5">
      <c r="A23" s="1">
        <v>46296</v>
      </c>
      <c r="C23" s="2">
        <f t="shared" si="0"/>
        <v>88.097531299131447</v>
      </c>
      <c r="D23" s="2">
        <f t="shared" si="1"/>
        <v>67.237949896685762</v>
      </c>
      <c r="E23" s="2">
        <f t="shared" si="2"/>
        <v>108.95711270157713</v>
      </c>
    </row>
    <row r="24" spans="1:5">
      <c r="A24" s="1">
        <v>46327</v>
      </c>
      <c r="C24" s="2">
        <f t="shared" si="0"/>
        <v>92.770004822373267</v>
      </c>
      <c r="D24" s="2">
        <f t="shared" si="1"/>
        <v>68.966103730187882</v>
      </c>
      <c r="E24" s="2">
        <f t="shared" si="2"/>
        <v>116.57390591455865</v>
      </c>
    </row>
    <row r="25" spans="1:5">
      <c r="A25" s="1">
        <v>46357</v>
      </c>
      <c r="C25" s="2">
        <f t="shared" si="0"/>
        <v>97.442478345615115</v>
      </c>
      <c r="D25" s="2">
        <f t="shared" si="1"/>
        <v>70.565729920881125</v>
      </c>
      <c r="E25" s="2">
        <f t="shared" si="2"/>
        <v>124.3192267703491</v>
      </c>
    </row>
    <row r="26" spans="1:5">
      <c r="A26" s="1">
        <v>46388</v>
      </c>
      <c r="C26" s="2">
        <f t="shared" si="0"/>
        <v>102.11495186885693</v>
      </c>
      <c r="D26" s="2">
        <f t="shared" si="1"/>
        <v>72.042182366509792</v>
      </c>
      <c r="E26" s="2">
        <f t="shared" si="2"/>
        <v>132.18772137120408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8530-1B54-4C01-8CB5-D01D03E8C268}">
  <dimension ref="B2:I134"/>
  <sheetViews>
    <sheetView zoomScale="115" zoomScaleNormal="115" workbookViewId="0">
      <selection activeCell="J5" sqref="J5"/>
    </sheetView>
  </sheetViews>
  <sheetFormatPr defaultRowHeight="15"/>
  <cols>
    <col min="2" max="2" width="11.85546875" bestFit="1" customWidth="1"/>
    <col min="3" max="3" width="12.85546875" style="51" bestFit="1" customWidth="1"/>
  </cols>
  <sheetData>
    <row r="2" spans="2:9">
      <c r="B2" s="42" t="s">
        <v>15</v>
      </c>
      <c r="C2" s="48" t="s">
        <v>54</v>
      </c>
    </row>
    <row r="3" spans="2:9">
      <c r="B3" s="43">
        <v>45665</v>
      </c>
      <c r="C3" s="49">
        <v>-99.61</v>
      </c>
      <c r="D3">
        <v>99.61</v>
      </c>
      <c r="E3">
        <v>-1</v>
      </c>
      <c r="G3" s="41">
        <f>XIRR(C3:C134,B3:B134)</f>
        <v>5.370044410228729E-2</v>
      </c>
      <c r="I3" s="41"/>
    </row>
    <row r="4" spans="2:9">
      <c r="B4" s="43">
        <v>45665</v>
      </c>
      <c r="C4" s="49">
        <v>-95.83</v>
      </c>
      <c r="D4">
        <v>95.83</v>
      </c>
      <c r="G4" s="41"/>
    </row>
    <row r="5" spans="2:9">
      <c r="B5" s="43">
        <v>45665</v>
      </c>
      <c r="C5" s="49">
        <v>-97.91</v>
      </c>
      <c r="D5">
        <v>97.91</v>
      </c>
    </row>
    <row r="6" spans="2:9">
      <c r="B6" s="43">
        <v>45694</v>
      </c>
      <c r="C6" s="49">
        <v>-98.96</v>
      </c>
      <c r="D6">
        <v>98.96</v>
      </c>
    </row>
    <row r="7" spans="2:9">
      <c r="B7" s="43">
        <v>45694</v>
      </c>
      <c r="C7" s="49">
        <v>-93.74</v>
      </c>
      <c r="D7">
        <v>93.74</v>
      </c>
    </row>
    <row r="8" spans="2:9">
      <c r="B8" s="43">
        <v>45694</v>
      </c>
      <c r="C8" s="49">
        <v>-97.99</v>
      </c>
      <c r="D8">
        <v>97.99</v>
      </c>
    </row>
    <row r="9" spans="2:9">
      <c r="B9" s="43">
        <v>45726</v>
      </c>
      <c r="C9" s="49">
        <v>-101.88</v>
      </c>
      <c r="D9">
        <v>101.88</v>
      </c>
    </row>
    <row r="10" spans="2:9">
      <c r="B10" s="43">
        <v>45726</v>
      </c>
      <c r="C10" s="49">
        <v>-96.31</v>
      </c>
      <c r="D10">
        <v>96.31</v>
      </c>
    </row>
    <row r="11" spans="2:9">
      <c r="B11" s="43">
        <v>45726</v>
      </c>
      <c r="C11" s="49">
        <v>-97.34</v>
      </c>
      <c r="D11">
        <v>97.34</v>
      </c>
    </row>
    <row r="12" spans="2:9">
      <c r="B12" s="43">
        <v>45751</v>
      </c>
      <c r="C12" s="49">
        <v>-100.82</v>
      </c>
      <c r="D12">
        <v>100.82</v>
      </c>
    </row>
    <row r="13" spans="2:9">
      <c r="B13" s="43">
        <v>45751</v>
      </c>
      <c r="C13" s="49">
        <v>-97.65</v>
      </c>
      <c r="D13">
        <v>97.65</v>
      </c>
    </row>
    <row r="14" spans="2:9">
      <c r="B14" s="43">
        <v>45751</v>
      </c>
      <c r="C14" s="49">
        <v>-103.98</v>
      </c>
      <c r="D14">
        <v>103.98</v>
      </c>
    </row>
    <row r="15" spans="2:9">
      <c r="B15" s="43">
        <v>45772</v>
      </c>
      <c r="C15" s="49">
        <v>-17.36</v>
      </c>
      <c r="D15">
        <v>17.36</v>
      </c>
    </row>
    <row r="16" spans="2:9">
      <c r="B16" s="43">
        <v>45784</v>
      </c>
      <c r="C16" s="49">
        <v>-102.3</v>
      </c>
      <c r="D16">
        <v>102.3</v>
      </c>
    </row>
    <row r="17" spans="2:4">
      <c r="B17" s="43">
        <v>45784</v>
      </c>
      <c r="C17" s="49">
        <v>-100.83</v>
      </c>
      <c r="D17">
        <v>100.83</v>
      </c>
    </row>
    <row r="18" spans="2:4">
      <c r="B18" s="43">
        <v>45784</v>
      </c>
      <c r="C18" s="49">
        <v>-104.72</v>
      </c>
      <c r="D18">
        <v>104.72</v>
      </c>
    </row>
    <row r="19" spans="2:4">
      <c r="B19" s="43">
        <v>45814</v>
      </c>
      <c r="C19" s="49">
        <v>-101.74</v>
      </c>
      <c r="D19">
        <v>101.74</v>
      </c>
    </row>
    <row r="20" spans="2:4">
      <c r="B20" s="43">
        <v>45814</v>
      </c>
      <c r="C20" s="49">
        <v>-101.88</v>
      </c>
      <c r="D20">
        <v>101.88</v>
      </c>
    </row>
    <row r="21" spans="2:4">
      <c r="B21" s="43">
        <v>45814</v>
      </c>
      <c r="C21" s="49">
        <v>-103.59</v>
      </c>
      <c r="D21">
        <v>103.59</v>
      </c>
    </row>
    <row r="22" spans="2:4">
      <c r="B22" s="43">
        <v>45814</v>
      </c>
      <c r="C22" s="49">
        <v>-17.64</v>
      </c>
      <c r="D22">
        <v>17.64</v>
      </c>
    </row>
    <row r="23" spans="2:4">
      <c r="B23" s="43">
        <v>45821</v>
      </c>
      <c r="C23" s="49">
        <v>-26.400000000000002</v>
      </c>
      <c r="D23">
        <v>26.400000000000002</v>
      </c>
    </row>
    <row r="24" spans="2:4">
      <c r="B24" s="43">
        <v>45822</v>
      </c>
      <c r="C24" s="49">
        <v>-8.89</v>
      </c>
      <c r="D24">
        <v>8.89</v>
      </c>
    </row>
    <row r="25" spans="2:4">
      <c r="B25" s="43">
        <v>45831</v>
      </c>
      <c r="C25" s="49">
        <v>-17.78</v>
      </c>
      <c r="D25">
        <v>17.78</v>
      </c>
    </row>
    <row r="26" spans="2:4">
      <c r="B26" s="43">
        <v>45845</v>
      </c>
      <c r="C26" s="49">
        <v>-101.12</v>
      </c>
      <c r="D26">
        <v>101.12</v>
      </c>
    </row>
    <row r="27" spans="2:4">
      <c r="B27" s="43">
        <v>45845</v>
      </c>
      <c r="C27" s="49">
        <v>-100.24</v>
      </c>
      <c r="D27">
        <v>100.24</v>
      </c>
    </row>
    <row r="28" spans="2:4">
      <c r="B28" s="43">
        <v>45845</v>
      </c>
      <c r="C28" s="49">
        <v>-105.49</v>
      </c>
      <c r="D28">
        <v>105.49</v>
      </c>
    </row>
    <row r="29" spans="2:4">
      <c r="B29" s="43">
        <v>45855</v>
      </c>
      <c r="C29" s="49">
        <v>-100.04</v>
      </c>
      <c r="D29">
        <v>100.04</v>
      </c>
    </row>
    <row r="30" spans="2:4">
      <c r="B30" s="43">
        <v>45855</v>
      </c>
      <c r="C30" s="49">
        <v>-8.85</v>
      </c>
      <c r="D30">
        <v>8.85</v>
      </c>
    </row>
    <row r="31" spans="2:4">
      <c r="B31" s="43">
        <v>45859</v>
      </c>
      <c r="C31" s="49">
        <v>-8.81</v>
      </c>
      <c r="D31">
        <v>8.81</v>
      </c>
    </row>
    <row r="32" spans="2:4">
      <c r="B32" s="43">
        <v>45863</v>
      </c>
      <c r="C32" s="49">
        <v>-8.81</v>
      </c>
      <c r="D32">
        <v>8.81</v>
      </c>
    </row>
    <row r="33" spans="2:4">
      <c r="B33" s="43">
        <v>45870</v>
      </c>
      <c r="C33" s="49">
        <v>-98.84</v>
      </c>
      <c r="D33">
        <v>98.84</v>
      </c>
    </row>
    <row r="34" spans="2:4">
      <c r="B34" s="43">
        <v>45870</v>
      </c>
      <c r="C34" s="49">
        <v>-98.84</v>
      </c>
      <c r="D34">
        <v>98.84</v>
      </c>
    </row>
    <row r="35" spans="2:4">
      <c r="B35" s="43">
        <v>45870</v>
      </c>
      <c r="C35" s="49">
        <v>-98.84</v>
      </c>
      <c r="D35">
        <v>98.84</v>
      </c>
    </row>
    <row r="36" spans="2:4">
      <c r="B36" s="43">
        <v>45875</v>
      </c>
      <c r="C36" s="49">
        <v>-98.6</v>
      </c>
      <c r="D36">
        <v>98.6</v>
      </c>
    </row>
    <row r="37" spans="2:4">
      <c r="B37" s="43">
        <v>45875</v>
      </c>
      <c r="C37" s="49">
        <v>-98.6</v>
      </c>
      <c r="D37">
        <v>98.6</v>
      </c>
    </row>
    <row r="38" spans="2:4">
      <c r="B38" s="43">
        <v>45875</v>
      </c>
      <c r="C38" s="49">
        <v>-101</v>
      </c>
      <c r="D38">
        <v>101</v>
      </c>
    </row>
    <row r="39" spans="2:4">
      <c r="B39" s="43">
        <v>45881</v>
      </c>
      <c r="C39" s="49">
        <v>-96.8</v>
      </c>
      <c r="D39">
        <v>96.8</v>
      </c>
    </row>
    <row r="40" spans="2:4">
      <c r="B40" s="43">
        <v>45883</v>
      </c>
      <c r="C40" s="49">
        <v>-95.8</v>
      </c>
      <c r="D40">
        <v>95.8</v>
      </c>
    </row>
    <row r="41" spans="2:4">
      <c r="B41" s="43">
        <v>45884</v>
      </c>
      <c r="C41" s="49">
        <v>-100.58</v>
      </c>
      <c r="D41">
        <v>100.58</v>
      </c>
    </row>
    <row r="42" spans="2:4">
      <c r="B42" s="43">
        <v>45888</v>
      </c>
      <c r="C42" s="49">
        <v>-26.160000000000004</v>
      </c>
      <c r="D42">
        <v>26.160000000000004</v>
      </c>
    </row>
    <row r="43" spans="2:4">
      <c r="B43" s="43">
        <v>45908</v>
      </c>
      <c r="C43" s="49">
        <v>-97.1</v>
      </c>
      <c r="D43">
        <v>97.1</v>
      </c>
    </row>
    <row r="44" spans="2:4">
      <c r="B44" s="43">
        <v>45908</v>
      </c>
      <c r="C44" s="49">
        <v>-101.48</v>
      </c>
      <c r="D44">
        <v>101.48</v>
      </c>
    </row>
    <row r="45" spans="2:4">
      <c r="B45" s="43">
        <v>45908</v>
      </c>
      <c r="C45" s="49">
        <v>-104.87</v>
      </c>
      <c r="D45">
        <v>104.87</v>
      </c>
    </row>
    <row r="46" spans="2:4">
      <c r="B46" s="43">
        <v>45908</v>
      </c>
      <c r="C46" s="49">
        <v>-126</v>
      </c>
      <c r="D46">
        <v>126</v>
      </c>
    </row>
    <row r="47" spans="2:4">
      <c r="B47" s="43">
        <v>45931</v>
      </c>
      <c r="C47" s="49">
        <v>-78.03</v>
      </c>
      <c r="D47">
        <v>78.03</v>
      </c>
    </row>
    <row r="48" spans="2:4">
      <c r="B48" s="43">
        <v>45937</v>
      </c>
      <c r="C48" s="49">
        <v>-100.23</v>
      </c>
      <c r="D48">
        <v>100.23</v>
      </c>
    </row>
    <row r="49" spans="2:4">
      <c r="B49" s="43">
        <v>45937</v>
      </c>
      <c r="C49" s="49">
        <v>-104</v>
      </c>
      <c r="D49">
        <v>104</v>
      </c>
    </row>
    <row r="50" spans="2:4">
      <c r="B50" s="43">
        <v>45937</v>
      </c>
      <c r="C50" s="49">
        <v>-105.57</v>
      </c>
      <c r="D50">
        <v>105.57</v>
      </c>
    </row>
    <row r="51" spans="2:4">
      <c r="B51" s="43">
        <v>45937</v>
      </c>
      <c r="C51" s="49">
        <v>-103.62</v>
      </c>
      <c r="D51">
        <v>103.62</v>
      </c>
    </row>
    <row r="52" spans="2:4">
      <c r="B52" s="43">
        <v>45968</v>
      </c>
      <c r="C52" s="49">
        <v>-100.79</v>
      </c>
      <c r="D52">
        <v>100.79</v>
      </c>
    </row>
    <row r="53" spans="2:4">
      <c r="B53" s="43">
        <v>45968</v>
      </c>
      <c r="C53" s="49">
        <v>-100.78</v>
      </c>
      <c r="D53">
        <v>100.78</v>
      </c>
    </row>
    <row r="54" spans="2:4">
      <c r="B54" s="43">
        <v>45968</v>
      </c>
      <c r="C54" s="49">
        <v>-106.66</v>
      </c>
      <c r="D54">
        <v>106.66</v>
      </c>
    </row>
    <row r="55" spans="2:4">
      <c r="B55" s="43">
        <v>45968</v>
      </c>
      <c r="C55" s="49">
        <v>-103.44</v>
      </c>
      <c r="D55">
        <v>103.44</v>
      </c>
    </row>
    <row r="56" spans="2:4">
      <c r="B56" s="43">
        <v>45968</v>
      </c>
      <c r="C56" s="49">
        <v>-95.399999999999991</v>
      </c>
      <c r="D56">
        <v>95.399999999999991</v>
      </c>
    </row>
    <row r="57" spans="2:4">
      <c r="B57" s="43">
        <v>45996</v>
      </c>
      <c r="C57" s="49">
        <v>-100.17</v>
      </c>
      <c r="D57">
        <v>100.17</v>
      </c>
    </row>
    <row r="58" spans="2:4">
      <c r="B58" s="43">
        <v>45996</v>
      </c>
      <c r="C58" s="49">
        <v>-107.57</v>
      </c>
      <c r="D58">
        <v>107.57</v>
      </c>
    </row>
    <row r="59" spans="2:4">
      <c r="B59" s="43">
        <v>45996</v>
      </c>
      <c r="C59" s="49">
        <v>-86</v>
      </c>
      <c r="D59">
        <v>86</v>
      </c>
    </row>
    <row r="60" spans="2:4">
      <c r="B60" s="43">
        <v>45996</v>
      </c>
      <c r="C60" s="49">
        <v>-99.1</v>
      </c>
      <c r="D60">
        <v>99.1</v>
      </c>
    </row>
    <row r="61" spans="2:4">
      <c r="B61" s="43">
        <v>45996</v>
      </c>
      <c r="C61" s="49">
        <v>-93.6</v>
      </c>
      <c r="D61">
        <v>93.6</v>
      </c>
    </row>
    <row r="62" spans="2:4">
      <c r="B62" s="43">
        <v>46029</v>
      </c>
      <c r="C62" s="49">
        <v>-97.17</v>
      </c>
      <c r="D62">
        <v>97.17</v>
      </c>
    </row>
    <row r="63" spans="2:4">
      <c r="B63" s="43">
        <v>46029</v>
      </c>
      <c r="C63" s="49">
        <v>-109.13</v>
      </c>
      <c r="D63">
        <v>109.13</v>
      </c>
    </row>
    <row r="64" spans="2:4">
      <c r="B64" s="43">
        <v>46029</v>
      </c>
      <c r="C64" s="49">
        <v>-85.1</v>
      </c>
      <c r="D64">
        <v>85.1</v>
      </c>
    </row>
    <row r="65" spans="2:4">
      <c r="B65" s="43">
        <v>46029</v>
      </c>
      <c r="C65" s="49">
        <v>-99.2</v>
      </c>
      <c r="D65">
        <v>99.2</v>
      </c>
    </row>
    <row r="66" spans="2:4">
      <c r="B66" s="43">
        <v>46029</v>
      </c>
      <c r="C66" s="49">
        <v>-132.58000000000001</v>
      </c>
      <c r="D66">
        <v>132.58000000000001</v>
      </c>
    </row>
    <row r="67" spans="2:4">
      <c r="B67" s="43">
        <v>46059</v>
      </c>
      <c r="C67" s="49">
        <v>-102.65</v>
      </c>
      <c r="D67">
        <v>102.65</v>
      </c>
    </row>
    <row r="68" spans="2:4">
      <c r="B68" s="43">
        <v>46059</v>
      </c>
      <c r="C68" s="49">
        <v>-156.94999999999999</v>
      </c>
      <c r="D68">
        <v>156.94999999999999</v>
      </c>
    </row>
    <row r="69" spans="2:4">
      <c r="B69" s="43">
        <v>46059</v>
      </c>
      <c r="C69" s="49">
        <v>-102.94</v>
      </c>
      <c r="D69">
        <v>102.94</v>
      </c>
    </row>
    <row r="70" spans="2:4">
      <c r="B70" s="43">
        <v>46059</v>
      </c>
      <c r="C70" s="49">
        <v>-169.44</v>
      </c>
      <c r="D70">
        <v>169.44</v>
      </c>
    </row>
    <row r="71" spans="2:4">
      <c r="B71" s="43">
        <v>46084</v>
      </c>
      <c r="C71" s="49">
        <v>-75.2</v>
      </c>
      <c r="D71">
        <v>75.2</v>
      </c>
    </row>
    <row r="72" spans="2:4">
      <c r="B72" s="43">
        <v>46084</v>
      </c>
      <c r="C72" s="49">
        <v>-103.48</v>
      </c>
      <c r="D72">
        <v>103.48</v>
      </c>
    </row>
    <row r="73" spans="2:4">
      <c r="B73" s="43">
        <v>46084</v>
      </c>
      <c r="C73" s="49">
        <v>-158.57</v>
      </c>
      <c r="D73">
        <v>158.57</v>
      </c>
    </row>
    <row r="74" spans="2:4">
      <c r="B74" s="43">
        <v>46084</v>
      </c>
      <c r="C74" s="47">
        <v>-159.35</v>
      </c>
    </row>
    <row r="75" spans="2:4">
      <c r="B75" s="43">
        <v>45679</v>
      </c>
      <c r="C75" s="44">
        <v>0.86</v>
      </c>
    </row>
    <row r="76" spans="2:4">
      <c r="B76" s="43">
        <v>45679</v>
      </c>
      <c r="C76" s="44">
        <v>0.92</v>
      </c>
    </row>
    <row r="77" spans="2:4">
      <c r="B77" s="43">
        <v>45702</v>
      </c>
      <c r="C77" s="44">
        <v>0.93</v>
      </c>
    </row>
    <row r="78" spans="2:4">
      <c r="B78" s="43">
        <v>45713</v>
      </c>
      <c r="C78" s="44">
        <v>1.56</v>
      </c>
    </row>
    <row r="79" spans="2:4">
      <c r="B79" s="43">
        <v>45713</v>
      </c>
      <c r="C79" s="44">
        <v>1.84</v>
      </c>
    </row>
    <row r="80" spans="2:4">
      <c r="B80" s="43">
        <v>45734</v>
      </c>
      <c r="C80" s="44">
        <v>1.86</v>
      </c>
    </row>
    <row r="81" spans="2:3">
      <c r="B81" s="43">
        <v>45741</v>
      </c>
      <c r="C81" s="44">
        <v>2.34</v>
      </c>
    </row>
    <row r="82" spans="2:3">
      <c r="B82" s="43">
        <v>45741</v>
      </c>
      <c r="C82" s="44">
        <v>2.76</v>
      </c>
    </row>
    <row r="83" spans="2:3">
      <c r="B83" s="43">
        <v>45761</v>
      </c>
      <c r="C83" s="44">
        <v>2.79</v>
      </c>
    </row>
    <row r="84" spans="2:3">
      <c r="B84" s="43">
        <v>45772</v>
      </c>
      <c r="C84" s="44">
        <v>3.12</v>
      </c>
    </row>
    <row r="85" spans="2:3">
      <c r="B85" s="43">
        <v>45772</v>
      </c>
      <c r="C85" s="44">
        <v>3.68</v>
      </c>
    </row>
    <row r="86" spans="2:3">
      <c r="B86" s="43">
        <v>45791</v>
      </c>
      <c r="C86" s="44">
        <v>0.22</v>
      </c>
    </row>
    <row r="87" spans="2:3">
      <c r="B87" s="43">
        <v>45792</v>
      </c>
      <c r="C87" s="44">
        <v>3.72</v>
      </c>
    </row>
    <row r="88" spans="2:3">
      <c r="B88" s="43">
        <v>45800</v>
      </c>
      <c r="C88" s="44">
        <v>3.9</v>
      </c>
    </row>
    <row r="89" spans="2:3">
      <c r="B89" s="43">
        <v>45800</v>
      </c>
      <c r="C89" s="44">
        <v>4.5999999999999996</v>
      </c>
    </row>
    <row r="90" spans="2:3">
      <c r="B90" s="43">
        <v>45820</v>
      </c>
      <c r="C90" s="44">
        <v>0.2</v>
      </c>
    </row>
    <row r="91" spans="2:3">
      <c r="B91" s="43">
        <v>45821</v>
      </c>
      <c r="C91" s="44">
        <v>4.6500000000000004</v>
      </c>
    </row>
    <row r="92" spans="2:3">
      <c r="B92" s="43">
        <v>45831</v>
      </c>
      <c r="C92" s="44">
        <v>4.68</v>
      </c>
    </row>
    <row r="93" spans="2:3">
      <c r="B93" s="43">
        <v>45831</v>
      </c>
      <c r="C93" s="44">
        <v>5.52</v>
      </c>
    </row>
    <row r="94" spans="2:3">
      <c r="B94" s="43">
        <v>45852</v>
      </c>
      <c r="C94" s="44">
        <v>9.06</v>
      </c>
    </row>
    <row r="95" spans="2:3">
      <c r="B95" s="43">
        <v>45852</v>
      </c>
      <c r="C95" s="44">
        <v>0.81</v>
      </c>
    </row>
    <row r="96" spans="2:3">
      <c r="B96" s="43">
        <v>45863</v>
      </c>
      <c r="C96" s="44">
        <v>5.46</v>
      </c>
    </row>
    <row r="97" spans="2:3">
      <c r="B97" s="43">
        <v>45863</v>
      </c>
      <c r="C97" s="44">
        <v>6.44</v>
      </c>
    </row>
    <row r="98" spans="2:3">
      <c r="B98" s="43">
        <v>45882</v>
      </c>
      <c r="C98" s="44">
        <v>1.3</v>
      </c>
    </row>
    <row r="99" spans="2:3">
      <c r="B99" s="43">
        <v>45883</v>
      </c>
      <c r="C99" s="44">
        <v>6.51</v>
      </c>
    </row>
    <row r="100" spans="2:3">
      <c r="B100" s="43">
        <v>45894</v>
      </c>
      <c r="C100" s="44">
        <v>7.8</v>
      </c>
    </row>
    <row r="101" spans="2:3">
      <c r="B101" s="43">
        <v>45894</v>
      </c>
      <c r="C101" s="44">
        <v>8.2799999999999994</v>
      </c>
    </row>
    <row r="102" spans="2:3">
      <c r="B102" s="43">
        <v>45911</v>
      </c>
      <c r="C102" s="44">
        <v>1.44</v>
      </c>
    </row>
    <row r="103" spans="2:3">
      <c r="B103" s="43">
        <v>45912</v>
      </c>
      <c r="C103" s="44">
        <v>9.3000000000000007</v>
      </c>
    </row>
    <row r="104" spans="2:3">
      <c r="B104" s="43">
        <v>45925</v>
      </c>
      <c r="C104" s="44">
        <v>8.69</v>
      </c>
    </row>
    <row r="105" spans="2:3">
      <c r="B105" s="43">
        <v>45925</v>
      </c>
      <c r="C105" s="44">
        <v>9.1999999999999993</v>
      </c>
    </row>
    <row r="106" spans="2:3">
      <c r="B106" s="43">
        <v>45943</v>
      </c>
      <c r="C106" s="44">
        <v>1.6</v>
      </c>
    </row>
    <row r="107" spans="2:3">
      <c r="B107" s="43">
        <v>45944</v>
      </c>
      <c r="C107" s="44">
        <v>10.23</v>
      </c>
    </row>
    <row r="108" spans="2:3">
      <c r="B108" s="43">
        <v>45945</v>
      </c>
      <c r="C108" s="44">
        <v>9.48</v>
      </c>
    </row>
    <row r="109" spans="2:3">
      <c r="B109" s="43">
        <v>45945</v>
      </c>
      <c r="C109" s="44">
        <v>1.26</v>
      </c>
    </row>
    <row r="110" spans="2:3">
      <c r="B110" s="43">
        <v>45954</v>
      </c>
      <c r="C110" s="44">
        <v>10.119999999999999</v>
      </c>
    </row>
    <row r="111" spans="2:3">
      <c r="B111" s="43">
        <v>45974</v>
      </c>
      <c r="C111" s="44">
        <v>2.25</v>
      </c>
    </row>
    <row r="112" spans="2:3">
      <c r="B112" s="43">
        <v>45975</v>
      </c>
      <c r="C112" s="44">
        <v>11.16</v>
      </c>
    </row>
    <row r="113" spans="2:3">
      <c r="B113" s="43">
        <v>45975</v>
      </c>
      <c r="C113" s="44">
        <v>2.25</v>
      </c>
    </row>
    <row r="114" spans="2:3">
      <c r="B114" s="43">
        <v>45986</v>
      </c>
      <c r="C114" s="44">
        <v>9.48</v>
      </c>
    </row>
    <row r="115" spans="2:3">
      <c r="B115" s="43">
        <v>45986</v>
      </c>
      <c r="C115" s="44">
        <v>11.04</v>
      </c>
    </row>
    <row r="116" spans="2:3">
      <c r="B116" s="43">
        <v>46002</v>
      </c>
      <c r="C116" s="44">
        <v>3.33</v>
      </c>
    </row>
    <row r="117" spans="2:3">
      <c r="B117" s="43">
        <v>46002</v>
      </c>
      <c r="C117" s="44">
        <v>1</v>
      </c>
    </row>
    <row r="118" spans="2:3">
      <c r="B118" s="43">
        <v>46003</v>
      </c>
      <c r="C118" s="44">
        <v>13.02</v>
      </c>
    </row>
    <row r="119" spans="2:3">
      <c r="B119" s="43">
        <v>46006</v>
      </c>
      <c r="C119" s="44">
        <v>3.15</v>
      </c>
    </row>
    <row r="120" spans="2:3">
      <c r="B120" s="43">
        <v>46014</v>
      </c>
      <c r="C120" s="44">
        <v>9.48</v>
      </c>
    </row>
    <row r="121" spans="2:3">
      <c r="B121" s="43">
        <v>46014</v>
      </c>
      <c r="C121" s="44">
        <v>11.96</v>
      </c>
    </row>
    <row r="122" spans="2:3">
      <c r="B122" s="43">
        <v>46036</v>
      </c>
      <c r="C122" s="44">
        <v>4.2300000000000004</v>
      </c>
    </row>
    <row r="123" spans="2:3">
      <c r="B123" s="43">
        <v>46037</v>
      </c>
      <c r="C123" s="44">
        <v>15</v>
      </c>
    </row>
    <row r="124" spans="2:3">
      <c r="B124" s="43">
        <v>46037</v>
      </c>
      <c r="C124" s="44">
        <v>4.05</v>
      </c>
    </row>
    <row r="125" spans="2:3">
      <c r="B125" s="43">
        <v>46037</v>
      </c>
      <c r="C125" s="44">
        <v>1.3</v>
      </c>
    </row>
    <row r="126" spans="2:3">
      <c r="B126" s="43">
        <v>46045</v>
      </c>
      <c r="C126" s="44">
        <v>9.48</v>
      </c>
    </row>
    <row r="127" spans="2:3">
      <c r="B127" s="43">
        <v>46045</v>
      </c>
      <c r="C127" s="44">
        <v>12.88</v>
      </c>
    </row>
    <row r="128" spans="2:3">
      <c r="B128" s="43">
        <v>46065</v>
      </c>
      <c r="C128" s="44">
        <v>5.13</v>
      </c>
    </row>
    <row r="129" spans="2:3">
      <c r="B129" s="43">
        <v>46066</v>
      </c>
      <c r="C129" s="44">
        <v>14.88</v>
      </c>
    </row>
    <row r="130" spans="2:3">
      <c r="B130" s="43">
        <v>46066</v>
      </c>
      <c r="C130" s="44">
        <v>4.95</v>
      </c>
    </row>
    <row r="131" spans="2:3">
      <c r="B131" s="43">
        <v>46066</v>
      </c>
      <c r="C131" s="44">
        <v>2.64</v>
      </c>
    </row>
    <row r="132" spans="2:3">
      <c r="B132" s="43">
        <v>46078</v>
      </c>
      <c r="C132" s="44">
        <v>10.4</v>
      </c>
    </row>
    <row r="133" spans="2:3">
      <c r="B133" s="43">
        <v>46078</v>
      </c>
      <c r="C133" s="44">
        <v>12.88</v>
      </c>
    </row>
    <row r="134" spans="2:3">
      <c r="B134" s="45">
        <v>46085</v>
      </c>
      <c r="C134" s="50">
        <f>SUM(D3:D73)</f>
        <v>6539.3899999999976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6467A3-6C9C-40F8-9E29-870315D8E2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Visão Geral</vt:lpstr>
      <vt:lpstr>Ativos</vt:lpstr>
      <vt:lpstr>Aportes</vt:lpstr>
      <vt:lpstr>Dividendos</vt:lpstr>
      <vt:lpstr>Gráficos&amp;Projeções</vt:lpstr>
      <vt:lpstr>Projeções</vt:lpstr>
      <vt:lpstr>Fluxo_TIR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</dc:creator>
  <cp:keywords/>
  <dc:description/>
  <cp:lastModifiedBy>Felipe Silva</cp:lastModifiedBy>
  <cp:revision/>
  <dcterms:created xsi:type="dcterms:W3CDTF">2026-02-19T22:35:18Z</dcterms:created>
  <dcterms:modified xsi:type="dcterms:W3CDTF">2026-03-04T01:16:07Z</dcterms:modified>
  <cp:category/>
  <cp:contentStatus/>
</cp:coreProperties>
</file>